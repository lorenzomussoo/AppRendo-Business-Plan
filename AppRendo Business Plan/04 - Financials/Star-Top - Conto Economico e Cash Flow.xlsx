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lorenzo/Library/Containers/com.apple.mail/Data/Library/Mail Downloads/D3CE92A4-F8C5-43BB-BA4E-245C11AEDA2C/"/>
    </mc:Choice>
  </mc:AlternateContent>
  <xr:revisionPtr revIDLastSave="0" documentId="13_ncr:1_{EED53C20-50FE-DD4A-90D3-57F57CA1F662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note" sheetId="9" r:id="rId1"/>
    <sheet name="Conto Economico" sheetId="2" r:id="rId2"/>
    <sheet name="cash 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7" i="2" l="1"/>
  <c r="G62" i="2" l="1"/>
  <c r="F62" i="2"/>
  <c r="C12" i="2"/>
  <c r="E11" i="2"/>
  <c r="D10" i="2"/>
  <c r="D15" i="2" s="1"/>
  <c r="D60" i="2" l="1"/>
  <c r="H11" i="2"/>
  <c r="G11" i="2"/>
  <c r="F11" i="2"/>
  <c r="D11" i="2"/>
  <c r="D16" i="2" s="1"/>
  <c r="H10" i="2"/>
  <c r="G10" i="2"/>
  <c r="F10" i="2"/>
  <c r="E10" i="2"/>
  <c r="E15" i="2" s="1"/>
  <c r="H8" i="2" l="1"/>
  <c r="H13" i="2" s="1"/>
  <c r="G8" i="2"/>
  <c r="G13" i="2" s="1"/>
  <c r="F8" i="2"/>
  <c r="F13" i="2" s="1"/>
  <c r="E8" i="2"/>
  <c r="E13" i="2" s="1"/>
  <c r="D8" i="2"/>
  <c r="D13" i="2" s="1"/>
  <c r="D17" i="2" s="1"/>
  <c r="H15" i="2"/>
  <c r="H16" i="2"/>
  <c r="G15" i="2"/>
  <c r="G16" i="2"/>
  <c r="F15" i="2"/>
  <c r="F16" i="2"/>
  <c r="E16" i="2"/>
  <c r="D56" i="2"/>
  <c r="D62" i="2" s="1"/>
  <c r="D65" i="2" s="1"/>
  <c r="C15" i="3"/>
  <c r="H62" i="2"/>
  <c r="H69" i="2" s="1"/>
  <c r="G68" i="2"/>
  <c r="H68" i="2" s="1"/>
  <c r="F67" i="2"/>
  <c r="G67" i="2" s="1"/>
  <c r="H67" i="2" s="1"/>
  <c r="E60" i="2"/>
  <c r="E62" i="2" s="1"/>
  <c r="B15" i="3"/>
  <c r="F15" i="3"/>
  <c r="E15" i="3"/>
  <c r="D15" i="3"/>
  <c r="E17" i="2" l="1"/>
  <c r="E32" i="2" s="1"/>
  <c r="E34" i="2" s="1"/>
  <c r="G17" i="2"/>
  <c r="G32" i="2" s="1"/>
  <c r="G34" i="2" s="1"/>
  <c r="H32" i="2"/>
  <c r="H34" i="2" s="1"/>
  <c r="D32" i="2"/>
  <c r="D34" i="2" s="1"/>
  <c r="B18" i="3"/>
  <c r="F17" i="2"/>
  <c r="F32" i="2" s="1"/>
  <c r="F34" i="2" s="1"/>
  <c r="E66" i="2"/>
  <c r="C5" i="3"/>
  <c r="D22" i="2"/>
  <c r="D21" i="2"/>
  <c r="F21" i="2"/>
  <c r="F22" i="2"/>
  <c r="E21" i="2"/>
  <c r="E22" i="2"/>
  <c r="E24" i="2" s="1"/>
  <c r="C20" i="3" s="1"/>
  <c r="C21" i="3" s="1"/>
  <c r="C39" i="3" s="1"/>
  <c r="F5" i="3"/>
  <c r="F6" i="3" s="1"/>
  <c r="F38" i="3" s="1"/>
  <c r="G21" i="2"/>
  <c r="G22" i="2"/>
  <c r="H21" i="2"/>
  <c r="H22" i="2"/>
  <c r="C18" i="3"/>
  <c r="F66" i="2"/>
  <c r="G66" i="2" s="1"/>
  <c r="H66" i="2" s="1"/>
  <c r="E5" i="3"/>
  <c r="D5" i="3"/>
  <c r="D18" i="3" l="1"/>
  <c r="D19" i="3" s="1"/>
  <c r="D42" i="3" s="1"/>
  <c r="E18" i="3"/>
  <c r="G24" i="2"/>
  <c r="E20" i="3" s="1"/>
  <c r="E21" i="3" s="1"/>
  <c r="E39" i="3" s="1"/>
  <c r="E65" i="2"/>
  <c r="E70" i="2" s="1"/>
  <c r="E39" i="2" s="1"/>
  <c r="B5" i="3"/>
  <c r="B6" i="3" s="1"/>
  <c r="B7" i="3" s="1"/>
  <c r="F24" i="2"/>
  <c r="D20" i="3" s="1"/>
  <c r="D21" i="3" s="1"/>
  <c r="D39" i="3" s="1"/>
  <c r="D24" i="2"/>
  <c r="H24" i="2"/>
  <c r="F20" i="3" s="1"/>
  <c r="F21" i="3" s="1"/>
  <c r="F39" i="3" s="1"/>
  <c r="F40" i="3" s="1"/>
  <c r="F7" i="3"/>
  <c r="C19" i="3"/>
  <c r="C42" i="3" s="1"/>
  <c r="E19" i="3"/>
  <c r="E42" i="3" s="1"/>
  <c r="F18" i="3"/>
  <c r="F19" i="3" s="1"/>
  <c r="F42" i="3" s="1"/>
  <c r="E36" i="2"/>
  <c r="C6" i="3"/>
  <c r="C38" i="3" s="1"/>
  <c r="C40" i="3" s="1"/>
  <c r="D6" i="3"/>
  <c r="D38" i="3" s="1"/>
  <c r="E6" i="3"/>
  <c r="E38" i="3" s="1"/>
  <c r="G36" i="2" l="1"/>
  <c r="E40" i="3"/>
  <c r="F65" i="2"/>
  <c r="F70" i="2" s="1"/>
  <c r="F39" i="2" s="1"/>
  <c r="G65" i="2"/>
  <c r="G70" i="2" s="1"/>
  <c r="G39" i="2" s="1"/>
  <c r="D70" i="2"/>
  <c r="D39" i="2" s="1"/>
  <c r="H65" i="2"/>
  <c r="H70" i="2" s="1"/>
  <c r="H39" i="2" s="1"/>
  <c r="B38" i="3"/>
  <c r="F36" i="2"/>
  <c r="D40" i="3"/>
  <c r="D44" i="3" s="1"/>
  <c r="C44" i="3"/>
  <c r="B20" i="3"/>
  <c r="B21" i="3" s="1"/>
  <c r="B39" i="3" s="1"/>
  <c r="H36" i="2"/>
  <c r="D36" i="2"/>
  <c r="E44" i="3"/>
  <c r="F44" i="3"/>
  <c r="B19" i="3"/>
  <c r="E40" i="2"/>
  <c r="E43" i="2" s="1"/>
  <c r="E45" i="2" s="1"/>
  <c r="D7" i="3"/>
  <c r="E7" i="3"/>
  <c r="C7" i="3"/>
  <c r="G40" i="2" l="1"/>
  <c r="G43" i="2" s="1"/>
  <c r="E26" i="3" s="1"/>
  <c r="F40" i="2"/>
  <c r="F43" i="2" s="1"/>
  <c r="D26" i="3" s="1"/>
  <c r="D40" i="2"/>
  <c r="D41" i="2" s="1"/>
  <c r="H40" i="2"/>
  <c r="H41" i="2" s="1"/>
  <c r="B40" i="3"/>
  <c r="B42" i="3"/>
  <c r="C26" i="3"/>
  <c r="E41" i="2"/>
  <c r="G45" i="2" l="1"/>
  <c r="G41" i="2"/>
  <c r="F45" i="2"/>
  <c r="F41" i="2"/>
  <c r="D43" i="2"/>
  <c r="B26" i="3" s="1"/>
  <c r="H43" i="2"/>
  <c r="F26" i="3" s="1"/>
  <c r="B44" i="3"/>
  <c r="B46" i="3" s="1"/>
  <c r="B22" i="3" s="1"/>
  <c r="B23" i="3" s="1"/>
  <c r="H45" i="2" l="1"/>
  <c r="D45" i="2"/>
  <c r="C46" i="3"/>
  <c r="C22" i="3" s="1"/>
  <c r="C23" i="3" s="1"/>
  <c r="C29" i="3" s="1"/>
  <c r="B25" i="3"/>
  <c r="B27" i="3" s="1"/>
  <c r="B29" i="3"/>
  <c r="B31" i="3" s="1"/>
  <c r="D46" i="3" l="1"/>
  <c r="D22" i="3" s="1"/>
  <c r="D23" i="3" s="1"/>
  <c r="D25" i="3" s="1"/>
  <c r="D27" i="3" s="1"/>
  <c r="C31" i="3"/>
  <c r="C25" i="3"/>
  <c r="C27" i="3" s="1"/>
  <c r="E46" i="3" l="1"/>
  <c r="F46" i="3" s="1"/>
  <c r="F22" i="3" s="1"/>
  <c r="F23" i="3" s="1"/>
  <c r="F25" i="3" s="1"/>
  <c r="F27" i="3" s="1"/>
  <c r="D29" i="3"/>
  <c r="D31" i="3" s="1"/>
  <c r="F29" i="3" l="1"/>
  <c r="E22" i="3"/>
  <c r="E23" i="3" s="1"/>
  <c r="E25" i="3" s="1"/>
  <c r="E27" i="3" s="1"/>
  <c r="E29" i="3" l="1"/>
  <c r="E31" i="3" s="1"/>
  <c r="F3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Giada Colla (Aenduo)</author>
  </authors>
  <commentList>
    <comment ref="A1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Giada Colla (Aenduo):</t>
        </r>
        <r>
          <rPr>
            <sz val="9"/>
            <color indexed="81"/>
            <rFont val="Tahoma"/>
            <family val="2"/>
          </rPr>
          <t xml:space="preserve">
ARPU = Average Revenue Per User</t>
        </r>
      </text>
    </comment>
    <comment ref="A6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Giada Colla (Aenduo):</t>
        </r>
        <r>
          <rPr>
            <sz val="9"/>
            <color indexed="81"/>
            <rFont val="Tahoma"/>
            <family val="2"/>
          </rPr>
          <t xml:space="preserve">
Depreciation and Amortization = ammortamenti e accantonamenti</t>
        </r>
      </text>
    </comment>
  </commentList>
</comments>
</file>

<file path=xl/sharedStrings.xml><?xml version="1.0" encoding="utf-8"?>
<sst xmlns="http://schemas.openxmlformats.org/spreadsheetml/2006/main" count="114" uniqueCount="99">
  <si>
    <t>Costo unitario</t>
  </si>
  <si>
    <t>Marketing</t>
  </si>
  <si>
    <t>Y1</t>
  </si>
  <si>
    <t>Y2</t>
  </si>
  <si>
    <t>Y3</t>
  </si>
  <si>
    <t>Y4</t>
  </si>
  <si>
    <t>Y5</t>
  </si>
  <si>
    <t>Total investments</t>
  </si>
  <si>
    <t>D&amp;A</t>
  </si>
  <si>
    <t>Total D&amp;A</t>
  </si>
  <si>
    <t>Ebit margin %</t>
  </si>
  <si>
    <t>CASH FLOW</t>
  </si>
  <si>
    <t>Investimenti per sviluppo sperimentale</t>
  </si>
  <si>
    <t>Spese commerciali</t>
  </si>
  <si>
    <t>Altri costi</t>
  </si>
  <si>
    <t>INVESTIMENTI</t>
  </si>
  <si>
    <t>uscita per investimenti</t>
  </si>
  <si>
    <t>uscita per IVA investimenti</t>
  </si>
  <si>
    <t>A - TOTALE INVESTIMENTI</t>
  </si>
  <si>
    <t>GESTIONE FINANZIARIA</t>
  </si>
  <si>
    <t>entrata da finanziamento a breve</t>
  </si>
  <si>
    <t>interessi sul finanziamento a breve</t>
  </si>
  <si>
    <t>uscita per restituzione finanziamento a breve</t>
  </si>
  <si>
    <t>B - TOTALE GESTIONE FINANZIARIA</t>
  </si>
  <si>
    <t>GESTIONE OPERATIVA</t>
  </si>
  <si>
    <t>Entrate da ricavi</t>
  </si>
  <si>
    <t>IVA sui ricavi</t>
  </si>
  <si>
    <t>Costi operativi</t>
  </si>
  <si>
    <t>IVA sui costi operativi</t>
  </si>
  <si>
    <t>saldo IVA</t>
  </si>
  <si>
    <t>C - TOTALE GESTIONE OPERATIVA</t>
  </si>
  <si>
    <t>Flusso di cassa operativo</t>
  </si>
  <si>
    <t>Tasse (IRES e IRAP)</t>
  </si>
  <si>
    <t>Flusso di cassa netto</t>
  </si>
  <si>
    <t>FLUSSO DI CASSA TOTALE</t>
  </si>
  <si>
    <t>Investimenti ammortizzabili</t>
  </si>
  <si>
    <t>TOTALE RICAVI</t>
  </si>
  <si>
    <t>Mezzi propri per fase 1</t>
  </si>
  <si>
    <t>Servizi</t>
  </si>
  <si>
    <t>TOTALE UTENTI</t>
  </si>
  <si>
    <t>Ricavi da servizio 2</t>
  </si>
  <si>
    <t>Ricavi da servizio 1</t>
  </si>
  <si>
    <t>Costi variabili cloud</t>
  </si>
  <si>
    <t xml:space="preserve">Personale </t>
  </si>
  <si>
    <t>Spese generali</t>
  </si>
  <si>
    <t>Canoni (affitto locali, utenze, ecc.)</t>
  </si>
  <si>
    <t>Consulenze</t>
  </si>
  <si>
    <t>Ammortamenti (D&amp;A)</t>
  </si>
  <si>
    <t>UTILE/PERDITA D'ESERCIZIO</t>
  </si>
  <si>
    <t>Investimenti anno 1</t>
  </si>
  <si>
    <t>Totale investimenti anno 1</t>
  </si>
  <si>
    <t>Investimenti anno 2</t>
  </si>
  <si>
    <t>Totale investimenti anno 2</t>
  </si>
  <si>
    <t>TOTALE COSTI VARIABILI</t>
  </si>
  <si>
    <t>Investimenti da terzi</t>
  </si>
  <si>
    <t>Workstation (composta da pc, schermi e sistemi operativi)</t>
  </si>
  <si>
    <t>CONTO ECONOMICO</t>
  </si>
  <si>
    <t>Ipotesi di base utilizzate nel modello</t>
  </si>
  <si>
    <t>Non è prevista la distribuzione degli utili in nessuno degli anni considerati</t>
  </si>
  <si>
    <t>L'iva si considera liquidata entro l'anno la fine dell'anno di competenza</t>
  </si>
  <si>
    <t>Le imposte si considerano liquidate entro la fine dell'anno di competenza</t>
  </si>
  <si>
    <t>I costi di personale sono considerati per semplicità comprensivi di TFR</t>
  </si>
  <si>
    <t>Gli investimenti considerati sono di tipo immateriale con ammortamento in 5 anni</t>
  </si>
  <si>
    <t>RICAVI</t>
  </si>
  <si>
    <t>TASSE</t>
  </si>
  <si>
    <t>Investimenti y1</t>
  </si>
  <si>
    <t>Investimenti y2</t>
  </si>
  <si>
    <t>Investimenti y3</t>
  </si>
  <si>
    <t>Investimenti y4</t>
  </si>
  <si>
    <t>Investimenti y5</t>
  </si>
  <si>
    <t>FLUSSO DI CASSA CUMULATO</t>
  </si>
  <si>
    <t>IVA</t>
  </si>
  <si>
    <t>IVA su investimenti</t>
  </si>
  <si>
    <t>IVA su costi operativi</t>
  </si>
  <si>
    <t>Totale IVA</t>
  </si>
  <si>
    <t>IVA su ricavi</t>
  </si>
  <si>
    <t>Bilancio annuale IVA</t>
  </si>
  <si>
    <t>Bilancio totale IVA</t>
  </si>
  <si>
    <t>COSTI</t>
  </si>
  <si>
    <r>
      <t>EBITDA</t>
    </r>
    <r>
      <rPr>
        <sz val="11"/>
        <color theme="1"/>
        <rFont val="Arial Narrow"/>
        <family val="2"/>
      </rPr>
      <t xml:space="preserve"> </t>
    </r>
    <r>
      <rPr>
        <sz val="8"/>
        <color theme="1"/>
        <rFont val="Arial Narrow"/>
        <family val="2"/>
      </rPr>
      <t>( = Ricavi - Costi)</t>
    </r>
  </si>
  <si>
    <r>
      <t>EBIT</t>
    </r>
    <r>
      <rPr>
        <sz val="8"/>
        <color theme="1"/>
        <rFont val="Arial Narrow"/>
        <family val="2"/>
      </rPr>
      <t xml:space="preserve"> ( = EBITDA - D&amp;A)</t>
    </r>
  </si>
  <si>
    <t>COSTI FISSI OPERATIVI</t>
  </si>
  <si>
    <t>TOTALE COSTI FISSI OPERATIVI</t>
  </si>
  <si>
    <t>COSTI VARIABILI OPERATIVI</t>
  </si>
  <si>
    <t>Lezioni Online</t>
  </si>
  <si>
    <t>Lezioni in Presenza</t>
  </si>
  <si>
    <t>ARPU Lezioni Online</t>
  </si>
  <si>
    <t>ARPU Lezioni in Presenza</t>
  </si>
  <si>
    <t>Costi variabili supporto clienti</t>
  </si>
  <si>
    <t>Ricavo unitario</t>
  </si>
  <si>
    <t>Media Lezioni</t>
  </si>
  <si>
    <t>Aggiornamenti e manutenzioni</t>
  </si>
  <si>
    <t>ARPU Pubblicità (Pay-per-impression)</t>
  </si>
  <si>
    <t>Media Accessi</t>
  </si>
  <si>
    <t>Infrastrutture tecnologiche</t>
  </si>
  <si>
    <t>Software e licenze</t>
  </si>
  <si>
    <t>Brevetti o proprietà intellettuali</t>
  </si>
  <si>
    <t>Marketing iniziale</t>
  </si>
  <si>
    <t>Dei ricavi: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</si>
</sst>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€&quot;\ * #,##0.00_-;\-&quot;€&quot;\ * #,##0.00_-;_-&quot;€&quot;\ * &quot;-&quot;??_-;_-@_-"/>
    <numFmt numFmtId="165" formatCode="_-* #,##0_-;\-* #,##0_-;_-* &quot;-&quot;??_-;_-@_-"/>
    <numFmt numFmtId="166" formatCode="0.0%"/>
    <numFmt numFmtId="167" formatCode="_-[$€-410]\ * #,##0.00_-;\-[$€-410]\ * #,##0.00_-;_-[$€-410]\ * &quot;-&quot;??_-;_-@_-"/>
    <numFmt numFmtId="168" formatCode="_-[$€-410]\ * #,##0_-;\-[$€-410]\ * #,##0_-;_-[$€-410]\ * &quot;-&quot;??_-;_-@_-"/>
    <numFmt numFmtId="169" formatCode="_-&quot;€&quot;* #,##0_-;\-&quot;€&quot;* #,##0_-;_-&quot;€&quot;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1"/>
      <name val="Arial Narrow"/>
      <family val="2"/>
    </font>
    <font>
      <sz val="1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u/>
      <sz val="11"/>
      <name val="Arial Narrow"/>
      <family val="2"/>
    </font>
    <font>
      <sz val="8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0"/>
      <name val="Arial"/>
      <family val="2"/>
    </font>
    <font>
      <b/>
      <sz val="12"/>
      <color theme="1"/>
      <name val="Arial Narrow"/>
      <family val="2"/>
    </font>
    <font>
      <b/>
      <i/>
      <sz val="11"/>
      <color theme="1"/>
      <name val="Arial Narrow"/>
      <family val="2"/>
    </font>
    <font>
      <sz val="8"/>
      <name val="Calibri"/>
      <family val="2"/>
      <scheme val="minor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8"/>
      <color theme="1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theme="1"/>
      <name val="Arial Narrow"/>
      <family val="2"/>
    </font>
    <font>
      <sz val="12"/>
      <color theme="1"/>
      <name val="Arial Narrow"/>
      <family val="2"/>
    </font>
    <font>
      <u/>
      <sz val="11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9" fontId="15" fillId="0" borderId="0" applyFont="0" applyFill="0" applyBorder="0" applyAlignment="0" applyProtection="0"/>
  </cellStyleXfs>
  <cellXfs count="154">
    <xf numFmtId="0" fontId="0" fillId="0" borderId="0" xfId="0"/>
    <xf numFmtId="0" fontId="0" fillId="0" borderId="4" xfId="0" applyBorder="1"/>
    <xf numFmtId="0" fontId="0" fillId="0" borderId="5" xfId="0" applyBorder="1"/>
    <xf numFmtId="3" fontId="8" fillId="0" borderId="0" xfId="0" applyNumberFormat="1" applyFont="1"/>
    <xf numFmtId="3" fontId="9" fillId="0" borderId="0" xfId="0" applyNumberFormat="1" applyFont="1"/>
    <xf numFmtId="3" fontId="7" fillId="0" borderId="0" xfId="0" applyNumberFormat="1" applyFont="1"/>
    <xf numFmtId="3" fontId="12" fillId="0" borderId="0" xfId="0" applyNumberFormat="1" applyFont="1"/>
    <xf numFmtId="0" fontId="11" fillId="0" borderId="1" xfId="0" applyFont="1" applyBorder="1"/>
    <xf numFmtId="3" fontId="8" fillId="0" borderId="2" xfId="0" applyNumberFormat="1" applyFont="1" applyBorder="1"/>
    <xf numFmtId="3" fontId="10" fillId="0" borderId="2" xfId="0" applyNumberFormat="1" applyFont="1" applyBorder="1"/>
    <xf numFmtId="3" fontId="10" fillId="0" borderId="3" xfId="0" applyNumberFormat="1" applyFont="1" applyBorder="1"/>
    <xf numFmtId="0" fontId="8" fillId="0" borderId="4" xfId="0" applyFont="1" applyBorder="1"/>
    <xf numFmtId="3" fontId="8" fillId="0" borderId="5" xfId="0" applyNumberFormat="1" applyFont="1" applyBorder="1"/>
    <xf numFmtId="3" fontId="7" fillId="0" borderId="7" xfId="0" applyNumberFormat="1" applyFont="1" applyBorder="1"/>
    <xf numFmtId="3" fontId="7" fillId="0" borderId="8" xfId="0" applyNumberFormat="1" applyFont="1" applyBorder="1"/>
    <xf numFmtId="3" fontId="7" fillId="0" borderId="2" xfId="0" applyNumberFormat="1" applyFont="1" applyBorder="1"/>
    <xf numFmtId="3" fontId="12" fillId="0" borderId="2" xfId="0" applyNumberFormat="1" applyFont="1" applyBorder="1"/>
    <xf numFmtId="3" fontId="12" fillId="0" borderId="3" xfId="0" applyNumberFormat="1" applyFont="1" applyBorder="1"/>
    <xf numFmtId="3" fontId="6" fillId="0" borderId="0" xfId="0" applyNumberFormat="1" applyFont="1"/>
    <xf numFmtId="0" fontId="7" fillId="0" borderId="12" xfId="0" applyFont="1" applyBorder="1" applyAlignment="1">
      <alignment vertical="top" wrapText="1"/>
    </xf>
    <xf numFmtId="3" fontId="7" fillId="0" borderId="13" xfId="0" applyNumberFormat="1" applyFont="1" applyBorder="1"/>
    <xf numFmtId="3" fontId="7" fillId="0" borderId="14" xfId="0" applyNumberFormat="1" applyFont="1" applyBorder="1"/>
    <xf numFmtId="0" fontId="7" fillId="0" borderId="1" xfId="0" applyFont="1" applyBorder="1" applyAlignment="1">
      <alignment vertical="top" wrapText="1"/>
    </xf>
    <xf numFmtId="3" fontId="7" fillId="0" borderId="3" xfId="0" applyNumberFormat="1" applyFont="1" applyBorder="1"/>
    <xf numFmtId="0" fontId="7" fillId="0" borderId="4" xfId="0" applyFont="1" applyBorder="1"/>
    <xf numFmtId="0" fontId="7" fillId="0" borderId="6" xfId="0" applyFont="1" applyBorder="1" applyAlignment="1">
      <alignment vertical="top" wrapText="1"/>
    </xf>
    <xf numFmtId="0" fontId="13" fillId="0" borderId="0" xfId="0" applyFont="1"/>
    <xf numFmtId="0" fontId="14" fillId="0" borderId="1" xfId="0" applyFont="1" applyBorder="1"/>
    <xf numFmtId="0" fontId="13" fillId="0" borderId="2" xfId="0" applyFont="1" applyBorder="1"/>
    <xf numFmtId="0" fontId="13" fillId="0" borderId="3" xfId="0" applyFont="1" applyBorder="1"/>
    <xf numFmtId="0" fontId="13" fillId="0" borderId="4" xfId="0" applyFont="1" applyBorder="1"/>
    <xf numFmtId="3" fontId="13" fillId="0" borderId="0" xfId="0" applyNumberFormat="1" applyFont="1"/>
    <xf numFmtId="3" fontId="13" fillId="0" borderId="5" xfId="0" applyNumberFormat="1" applyFont="1" applyBorder="1"/>
    <xf numFmtId="0" fontId="14" fillId="0" borderId="4" xfId="0" applyFont="1" applyBorder="1"/>
    <xf numFmtId="3" fontId="14" fillId="0" borderId="0" xfId="0" applyNumberFormat="1" applyFont="1"/>
    <xf numFmtId="3" fontId="14" fillId="0" borderId="5" xfId="0" applyNumberFormat="1" applyFont="1" applyBorder="1"/>
    <xf numFmtId="0" fontId="13" fillId="0" borderId="5" xfId="0" applyFont="1" applyBorder="1"/>
    <xf numFmtId="0" fontId="14" fillId="0" borderId="12" xfId="0" applyFont="1" applyBorder="1"/>
    <xf numFmtId="3" fontId="14" fillId="0" borderId="13" xfId="0" applyNumberFormat="1" applyFont="1" applyBorder="1"/>
    <xf numFmtId="3" fontId="14" fillId="0" borderId="14" xfId="0" applyNumberFormat="1" applyFont="1" applyBorder="1"/>
    <xf numFmtId="0" fontId="4" fillId="0" borderId="0" xfId="0" applyFont="1"/>
    <xf numFmtId="0" fontId="4" fillId="0" borderId="1" xfId="0" applyFont="1" applyBorder="1"/>
    <xf numFmtId="0" fontId="4" fillId="0" borderId="3" xfId="0" applyFont="1" applyBorder="1"/>
    <xf numFmtId="3" fontId="4" fillId="0" borderId="0" xfId="0" applyNumberFormat="1" applyFont="1"/>
    <xf numFmtId="0" fontId="4" fillId="0" borderId="4" xfId="0" applyFont="1" applyBorder="1"/>
    <xf numFmtId="166" fontId="4" fillId="0" borderId="0" xfId="2" applyNumberFormat="1" applyFont="1" applyBorder="1"/>
    <xf numFmtId="3" fontId="4" fillId="0" borderId="0" xfId="1" applyNumberFormat="1" applyFont="1" applyBorder="1"/>
    <xf numFmtId="166" fontId="4" fillId="0" borderId="0" xfId="2" applyNumberFormat="1" applyFont="1"/>
    <xf numFmtId="166" fontId="4" fillId="0" borderId="2" xfId="2" applyNumberFormat="1" applyFont="1" applyBorder="1"/>
    <xf numFmtId="3" fontId="4" fillId="0" borderId="2" xfId="1" applyNumberFormat="1" applyFont="1" applyBorder="1"/>
    <xf numFmtId="3" fontId="4" fillId="0" borderId="5" xfId="0" applyNumberFormat="1" applyFont="1" applyBorder="1"/>
    <xf numFmtId="0" fontId="14" fillId="0" borderId="9" xfId="0" applyFont="1" applyBorder="1"/>
    <xf numFmtId="0" fontId="14" fillId="0" borderId="10" xfId="0" applyFont="1" applyBorder="1"/>
    <xf numFmtId="3" fontId="14" fillId="0" borderId="10" xfId="0" applyNumberFormat="1" applyFont="1" applyBorder="1"/>
    <xf numFmtId="3" fontId="14" fillId="0" borderId="11" xfId="0" applyNumberFormat="1" applyFont="1" applyBorder="1"/>
    <xf numFmtId="0" fontId="4" fillId="0" borderId="2" xfId="0" applyFont="1" applyBorder="1"/>
    <xf numFmtId="165" fontId="4" fillId="0" borderId="2" xfId="1" applyNumberFormat="1" applyFont="1" applyBorder="1"/>
    <xf numFmtId="165" fontId="4" fillId="0" borderId="3" xfId="1" applyNumberFormat="1" applyFont="1" applyBorder="1"/>
    <xf numFmtId="165" fontId="4" fillId="0" borderId="0" xfId="1" applyNumberFormat="1" applyFont="1" applyBorder="1"/>
    <xf numFmtId="165" fontId="4" fillId="0" borderId="5" xfId="1" applyNumberFormat="1" applyFont="1" applyBorder="1"/>
    <xf numFmtId="0" fontId="14" fillId="3" borderId="9" xfId="0" applyFont="1" applyFill="1" applyBorder="1"/>
    <xf numFmtId="0" fontId="4" fillId="3" borderId="10" xfId="0" applyFont="1" applyFill="1" applyBorder="1"/>
    <xf numFmtId="165" fontId="14" fillId="3" borderId="10" xfId="1" applyNumberFormat="1" applyFont="1" applyFill="1" applyBorder="1"/>
    <xf numFmtId="165" fontId="14" fillId="3" borderId="11" xfId="1" applyNumberFormat="1" applyFont="1" applyFill="1" applyBorder="1"/>
    <xf numFmtId="165" fontId="4" fillId="0" borderId="0" xfId="1" applyNumberFormat="1" applyFont="1"/>
    <xf numFmtId="43" fontId="4" fillId="0" borderId="0" xfId="1" applyFont="1"/>
    <xf numFmtId="0" fontId="16" fillId="0" borderId="1" xfId="0" applyFont="1" applyBorder="1"/>
    <xf numFmtId="0" fontId="4" fillId="0" borderId="7" xfId="0" applyFont="1" applyBorder="1"/>
    <xf numFmtId="3" fontId="4" fillId="0" borderId="7" xfId="0" applyNumberFormat="1" applyFont="1" applyBorder="1"/>
    <xf numFmtId="0" fontId="17" fillId="0" borderId="9" xfId="0" applyFont="1" applyBorder="1"/>
    <xf numFmtId="0" fontId="17" fillId="0" borderId="15" xfId="0" applyFont="1" applyBorder="1"/>
    <xf numFmtId="9" fontId="17" fillId="0" borderId="15" xfId="2" applyFont="1" applyBorder="1"/>
    <xf numFmtId="9" fontId="17" fillId="0" borderId="16" xfId="2" applyFont="1" applyBorder="1"/>
    <xf numFmtId="168" fontId="4" fillId="0" borderId="2" xfId="0" applyNumberFormat="1" applyFont="1" applyBorder="1"/>
    <xf numFmtId="168" fontId="4" fillId="0" borderId="3" xfId="0" applyNumberFormat="1" applyFont="1" applyBorder="1"/>
    <xf numFmtId="0" fontId="17" fillId="0" borderId="12" xfId="0" applyFont="1" applyBorder="1"/>
    <xf numFmtId="0" fontId="17" fillId="0" borderId="17" xfId="0" applyFont="1" applyBorder="1"/>
    <xf numFmtId="9" fontId="17" fillId="0" borderId="17" xfId="2" applyFont="1" applyBorder="1"/>
    <xf numFmtId="9" fontId="17" fillId="0" borderId="18" xfId="2" applyFont="1" applyBorder="1"/>
    <xf numFmtId="0" fontId="17" fillId="0" borderId="0" xfId="0" applyFont="1"/>
    <xf numFmtId="9" fontId="17" fillId="0" borderId="0" xfId="2" applyFont="1" applyBorder="1"/>
    <xf numFmtId="9" fontId="17" fillId="0" borderId="0" xfId="0" applyNumberFormat="1" applyFont="1"/>
    <xf numFmtId="3" fontId="17" fillId="0" borderId="0" xfId="3" applyNumberFormat="1" applyFont="1" applyBorder="1"/>
    <xf numFmtId="0" fontId="16" fillId="2" borderId="1" xfId="0" applyFont="1" applyFill="1" applyBorder="1"/>
    <xf numFmtId="0" fontId="16" fillId="2" borderId="2" xfId="0" applyFont="1" applyFill="1" applyBorder="1"/>
    <xf numFmtId="0" fontId="16" fillId="2" borderId="6" xfId="0" applyFont="1" applyFill="1" applyBorder="1"/>
    <xf numFmtId="0" fontId="16" fillId="2" borderId="7" xfId="0" applyFont="1" applyFill="1" applyBorder="1"/>
    <xf numFmtId="0" fontId="16" fillId="2" borderId="7" xfId="0" applyFont="1" applyFill="1" applyBorder="1" applyAlignment="1">
      <alignment horizontal="right"/>
    </xf>
    <xf numFmtId="0" fontId="16" fillId="2" borderId="8" xfId="0" applyFont="1" applyFill="1" applyBorder="1"/>
    <xf numFmtId="168" fontId="4" fillId="0" borderId="0" xfId="3" applyNumberFormat="1" applyFont="1" applyBorder="1"/>
    <xf numFmtId="168" fontId="4" fillId="0" borderId="5" xfId="3" applyNumberFormat="1" applyFont="1" applyBorder="1"/>
    <xf numFmtId="0" fontId="14" fillId="0" borderId="13" xfId="0" applyFont="1" applyBorder="1"/>
    <xf numFmtId="169" fontId="14" fillId="0" borderId="13" xfId="0" applyNumberFormat="1" applyFont="1" applyBorder="1"/>
    <xf numFmtId="0" fontId="14" fillId="0" borderId="0" xfId="0" applyFont="1"/>
    <xf numFmtId="168" fontId="4" fillId="0" borderId="0" xfId="0" applyNumberFormat="1" applyFont="1"/>
    <xf numFmtId="168" fontId="4" fillId="0" borderId="5" xfId="0" applyNumberFormat="1" applyFont="1" applyBorder="1"/>
    <xf numFmtId="168" fontId="14" fillId="0" borderId="13" xfId="0" applyNumberFormat="1" applyFont="1" applyBorder="1"/>
    <xf numFmtId="168" fontId="14" fillId="0" borderId="14" xfId="0" applyNumberFormat="1" applyFon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quotePrefix="1" applyFont="1" applyAlignment="1">
      <alignment horizontal="left" vertical="top" wrapText="1" indent="2"/>
    </xf>
    <xf numFmtId="168" fontId="14" fillId="0" borderId="0" xfId="3" applyNumberFormat="1" applyFont="1" applyBorder="1"/>
    <xf numFmtId="168" fontId="14" fillId="0" borderId="5" xfId="3" applyNumberFormat="1" applyFont="1" applyBorder="1"/>
    <xf numFmtId="168" fontId="14" fillId="0" borderId="0" xfId="3" applyNumberFormat="1" applyFont="1" applyFill="1" applyBorder="1"/>
    <xf numFmtId="1" fontId="7" fillId="0" borderId="0" xfId="0" applyNumberFormat="1" applyFont="1" applyAlignment="1">
      <alignment horizontal="center"/>
    </xf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3" fillId="0" borderId="4" xfId="0" applyFont="1" applyBorder="1"/>
    <xf numFmtId="0" fontId="4" fillId="0" borderId="5" xfId="0" applyFont="1" applyBorder="1"/>
    <xf numFmtId="166" fontId="4" fillId="0" borderId="3" xfId="2" applyNumberFormat="1" applyFont="1" applyBorder="1"/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8" fontId="4" fillId="0" borderId="0" xfId="3" applyNumberFormat="1" applyFont="1" applyFill="1" applyBorder="1"/>
    <xf numFmtId="3" fontId="10" fillId="0" borderId="0" xfId="0" applyNumberFormat="1" applyFont="1"/>
    <xf numFmtId="0" fontId="7" fillId="0" borderId="0" xfId="0" applyFont="1"/>
    <xf numFmtId="3" fontId="9" fillId="0" borderId="2" xfId="0" applyNumberFormat="1" applyFont="1" applyBorder="1"/>
    <xf numFmtId="0" fontId="7" fillId="0" borderId="0" xfId="0" applyFont="1" applyAlignment="1">
      <alignment vertical="top" wrapText="1"/>
    </xf>
    <xf numFmtId="0" fontId="3" fillId="0" borderId="0" xfId="0" applyFont="1"/>
    <xf numFmtId="0" fontId="20" fillId="0" borderId="0" xfId="0" applyFont="1"/>
    <xf numFmtId="167" fontId="4" fillId="0" borderId="0" xfId="0" applyNumberFormat="1" applyFont="1"/>
    <xf numFmtId="167" fontId="4" fillId="0" borderId="7" xfId="3" applyNumberFormat="1" applyFont="1" applyBorder="1"/>
    <xf numFmtId="0" fontId="3" fillId="0" borderId="0" xfId="0" applyFont="1" applyAlignment="1">
      <alignment vertical="top" wrapText="1"/>
    </xf>
    <xf numFmtId="0" fontId="2" fillId="0" borderId="4" xfId="0" applyFont="1" applyBorder="1"/>
    <xf numFmtId="0" fontId="19" fillId="0" borderId="1" xfId="0" applyFont="1" applyBorder="1"/>
    <xf numFmtId="0" fontId="14" fillId="3" borderId="10" xfId="0" applyFont="1" applyFill="1" applyBorder="1"/>
    <xf numFmtId="3" fontId="14" fillId="3" borderId="10" xfId="0" applyNumberFormat="1" applyFont="1" applyFill="1" applyBorder="1"/>
    <xf numFmtId="3" fontId="14" fillId="3" borderId="11" xfId="0" applyNumberFormat="1" applyFont="1" applyFill="1" applyBorder="1"/>
    <xf numFmtId="0" fontId="16" fillId="3" borderId="9" xfId="0" applyFont="1" applyFill="1" applyBorder="1" applyAlignment="1">
      <alignment vertical="center"/>
    </xf>
    <xf numFmtId="0" fontId="25" fillId="3" borderId="10" xfId="0" applyFont="1" applyFill="1" applyBorder="1" applyAlignment="1">
      <alignment vertical="center"/>
    </xf>
    <xf numFmtId="165" fontId="16" fillId="3" borderId="10" xfId="1" applyNumberFormat="1" applyFont="1" applyFill="1" applyBorder="1" applyAlignment="1">
      <alignment vertical="center"/>
    </xf>
    <xf numFmtId="165" fontId="16" fillId="3" borderId="11" xfId="1" applyNumberFormat="1" applyFont="1" applyFill="1" applyBorder="1" applyAlignment="1">
      <alignment vertical="center"/>
    </xf>
    <xf numFmtId="0" fontId="7" fillId="3" borderId="6" xfId="0" applyFont="1" applyFill="1" applyBorder="1"/>
    <xf numFmtId="3" fontId="7" fillId="3" borderId="7" xfId="0" applyNumberFormat="1" applyFont="1" applyFill="1" applyBorder="1"/>
    <xf numFmtId="3" fontId="7" fillId="3" borderId="8" xfId="0" applyNumberFormat="1" applyFont="1" applyFill="1" applyBorder="1"/>
    <xf numFmtId="0" fontId="7" fillId="3" borderId="12" xfId="0" applyFont="1" applyFill="1" applyBorder="1" applyAlignment="1">
      <alignment vertical="top" wrapText="1"/>
    </xf>
    <xf numFmtId="3" fontId="7" fillId="3" borderId="13" xfId="0" applyNumberFormat="1" applyFont="1" applyFill="1" applyBorder="1"/>
    <xf numFmtId="3" fontId="7" fillId="3" borderId="14" xfId="0" applyNumberFormat="1" applyFont="1" applyFill="1" applyBorder="1"/>
    <xf numFmtId="0" fontId="1" fillId="0" borderId="4" xfId="0" applyFont="1" applyBorder="1"/>
    <xf numFmtId="0" fontId="1" fillId="0" borderId="1" xfId="0" applyFont="1" applyBorder="1"/>
    <xf numFmtId="0" fontId="1" fillId="0" borderId="0" xfId="0" applyFont="1"/>
    <xf numFmtId="4" fontId="4" fillId="0" borderId="2" xfId="0" applyNumberFormat="1" applyFont="1" applyBorder="1"/>
    <xf numFmtId="0" fontId="1" fillId="0" borderId="6" xfId="0" applyFont="1" applyBorder="1"/>
    <xf numFmtId="0" fontId="26" fillId="0" borderId="0" xfId="0" applyFont="1"/>
    <xf numFmtId="4" fontId="4" fillId="0" borderId="0" xfId="0" applyNumberFormat="1" applyFont="1"/>
    <xf numFmtId="4" fontId="1" fillId="0" borderId="0" xfId="0" applyNumberFormat="1" applyFont="1"/>
    <xf numFmtId="9" fontId="4" fillId="0" borderId="0" xfId="0" applyNumberFormat="1" applyFont="1"/>
    <xf numFmtId="167" fontId="1" fillId="0" borderId="0" xfId="0" applyNumberFormat="1" applyFont="1"/>
    <xf numFmtId="3" fontId="4" fillId="0" borderId="8" xfId="0" applyNumberFormat="1" applyFont="1" applyBorder="1"/>
    <xf numFmtId="9" fontId="17" fillId="0" borderId="5" xfId="2" applyFont="1" applyBorder="1"/>
    <xf numFmtId="3" fontId="17" fillId="0" borderId="5" xfId="3" applyNumberFormat="1" applyFont="1" applyBorder="1"/>
    <xf numFmtId="169" fontId="14" fillId="0" borderId="14" xfId="0" applyNumberFormat="1" applyFont="1" applyBorder="1"/>
    <xf numFmtId="0" fontId="21" fillId="5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165" fontId="14" fillId="3" borderId="10" xfId="1" applyNumberFormat="1" applyFont="1" applyFill="1" applyBorder="1" applyAlignment="1">
      <alignment horizontal="right"/>
    </xf>
  </cellXfs>
  <cellStyles count="8">
    <cellStyle name="Migliaia" xfId="1" builtinId="3"/>
    <cellStyle name="Migliaia 2" xfId="5" xr:uid="{00000000-0005-0000-0000-000001000000}"/>
    <cellStyle name="Normal 2" xfId="6" xr:uid="{00000000-0005-0000-0000-000002000000}"/>
    <cellStyle name="Normale" xfId="0" builtinId="0"/>
    <cellStyle name="Normale 2" xfId="4" xr:uid="{00000000-0005-0000-0000-000004000000}"/>
    <cellStyle name="Percentuale" xfId="2" builtinId="5"/>
    <cellStyle name="Percentuale 2" xfId="7" xr:uid="{00000000-0005-0000-0000-000006000000}"/>
    <cellStyle name="Valuta" xfId="3" builtinId="4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Economico'!$A$36</c:f>
              <c:strCache>
                <c:ptCount val="1"/>
                <c:pt idx="0">
                  <c:v>EBITDA ( = Ricavi - Costi)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('Conto Economico'!$D$3,'Conto Economico'!$E$3,'Conto Economico'!$F$3,'Conto Economico'!$G$3,'Conto Economico'!$H$3)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('Conto Economico'!$D$36,'Conto Economico'!$E$36,'Conto Economico'!$F$36,'Conto Economico'!$G$36,'Conto Economico'!$H$36)</c:f>
              <c:numCache>
                <c:formatCode>_-* #,##0_-;\-* #,##0_-;_-* "-"??_-;_-@_-</c:formatCode>
                <c:ptCount val="5"/>
                <c:pt idx="0">
                  <c:v>-201810</c:v>
                </c:pt>
                <c:pt idx="1">
                  <c:v>-182996</c:v>
                </c:pt>
                <c:pt idx="2">
                  <c:v>299578</c:v>
                </c:pt>
                <c:pt idx="3">
                  <c:v>1601420</c:v>
                </c:pt>
                <c:pt idx="4">
                  <c:v>4366670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9-4874-801A-2FCDBFEA8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390438512"/>
        <c:axId val="390438904"/>
      </c:barChart>
      <c:catAx>
        <c:axId val="39043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390438904"/>
        <c:crosses val="autoZero"/>
        <c:auto val="1"/>
        <c:lblAlgn val="ctr"/>
        <c:lblOffset val="100"/>
        <c:noMultiLvlLbl val="0"/>
      </c:catAx>
      <c:valAx>
        <c:axId val="390438904"/>
        <c:scaling>
          <c:orientation val="minMax"/>
        </c:scaling>
        <c:delete val="1"/>
        <c:axPos val="l"/>
        <c:numFmt formatCode="_-* #,##0_-;\-* #,##0_-;_-* &quot;-&quot;??_-;_-@_-" sourceLinked="1"/>
        <c:majorTickMark val="out"/>
        <c:minorTickMark val="none"/>
        <c:tickLblPos val="nextTo"/>
        <c:crossAx val="39043851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Economico'!$A$17</c:f>
              <c:strCache>
                <c:ptCount val="1"/>
                <c:pt idx="0">
                  <c:v>TOTALE RICAVI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('Conto Economico'!$D$3,'Conto Economico'!$E$3,'Conto Economico'!$F$3,'Conto Economico'!$G$3,'Conto Economico'!$H$3)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('Conto Economico'!$D$17,'Conto Economico'!$E$17,'Conto Economico'!$F$17,'Conto Economico'!$G$17,'Conto Economico'!$H$17)</c:f>
              <c:numCache>
                <c:formatCode>_-* #,##0_-;\-* #,##0_-;_-* "-"??_-;_-@_-</c:formatCode>
                <c:ptCount val="5"/>
                <c:pt idx="0">
                  <c:v>120500</c:v>
                </c:pt>
                <c:pt idx="1">
                  <c:v>192800</c:v>
                </c:pt>
                <c:pt idx="2">
                  <c:v>747100</c:v>
                </c:pt>
                <c:pt idx="3">
                  <c:v>2169000</c:v>
                </c:pt>
                <c:pt idx="4">
                  <c:v>5181500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4B-42F5-9C82-18102ADBD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390439688"/>
        <c:axId val="390440080"/>
      </c:barChart>
      <c:catAx>
        <c:axId val="390439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390440080"/>
        <c:crosses val="autoZero"/>
        <c:auto val="1"/>
        <c:lblAlgn val="ctr"/>
        <c:lblOffset val="100"/>
        <c:noMultiLvlLbl val="0"/>
      </c:catAx>
      <c:valAx>
        <c:axId val="390440080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39043968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'Conto Economico'!$A$8</c:f>
              <c:strCache>
                <c:ptCount val="1"/>
                <c:pt idx="0">
                  <c:v>TOTALE UTENTI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alpha val="96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('Conto Economico'!$D$3,'Conto Economico'!$E$3,'Conto Economico'!$F$3,'Conto Economico'!$G$3,'Conto Economico'!$H$3)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Economico'!$D$8:$H$8</c:f>
              <c:numCache>
                <c:formatCode>#,##0</c:formatCode>
                <c:ptCount val="5"/>
                <c:pt idx="0">
                  <c:v>2000</c:v>
                </c:pt>
                <c:pt idx="1">
                  <c:v>3200</c:v>
                </c:pt>
                <c:pt idx="2">
                  <c:v>12400</c:v>
                </c:pt>
                <c:pt idx="3">
                  <c:v>36000</c:v>
                </c:pt>
                <c:pt idx="4">
                  <c:v>86000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20-4D24-B8AD-6DC85B5011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18986384"/>
        <c:axId val="418993048"/>
      </c:lineChart>
      <c:catAx>
        <c:axId val="41898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8993048"/>
        <c:crosses val="autoZero"/>
        <c:auto val="1"/>
        <c:lblAlgn val="ctr"/>
        <c:lblOffset val="100"/>
        <c:noMultiLvlLbl val="0"/>
      </c:catAx>
      <c:valAx>
        <c:axId val="418993048"/>
        <c:scaling>
          <c:orientation val="minMax"/>
          <c:max val="100000"/>
          <c:min val="0"/>
        </c:scaling>
        <c:delete val="0"/>
        <c:axPos val="l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1898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Economico'!$A$48</c:f>
              <c:strCache>
                <c:ptCount val="1"/>
                <c:pt idx="0">
                  <c:v>Investimenti ammortizzabili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'Conto Economico'!$D$47:$H$47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Economico'!$D$62:$H$62</c:f>
              <c:numCache>
                <c:formatCode>_-"€"* #,##0_-;\-"€"* #,##0_-;_-"€"* "-"??_-;_-@_-</c:formatCode>
                <c:ptCount val="5"/>
                <c:pt idx="0">
                  <c:v>74000</c:v>
                </c:pt>
                <c:pt idx="1">
                  <c:v>50000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0-4EB3-9DA4-F68613A47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418990696"/>
        <c:axId val="418992264"/>
      </c:barChart>
      <c:catAx>
        <c:axId val="41899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8992264"/>
        <c:crosses val="autoZero"/>
        <c:auto val="1"/>
        <c:lblAlgn val="ctr"/>
        <c:lblOffset val="100"/>
        <c:noMultiLvlLbl val="0"/>
      </c:catAx>
      <c:valAx>
        <c:axId val="418992264"/>
        <c:scaling>
          <c:orientation val="minMax"/>
        </c:scaling>
        <c:delete val="1"/>
        <c:axPos val="l"/>
        <c:numFmt formatCode="_-&quot;€&quot;* #,##0_-;\-&quot;€&quot;* #,##0_-;_-&quot;€&quot;* &quot;-&quot;??_-;_-@_-" sourceLinked="1"/>
        <c:majorTickMark val="out"/>
        <c:minorTickMark val="none"/>
        <c:tickLblPos val="nextTo"/>
        <c:crossAx val="41899069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Economico'!$A$26</c:f>
              <c:strCache>
                <c:ptCount val="1"/>
                <c:pt idx="0">
                  <c:v>COSTI FISSI OPERATIVI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('Conto Economico'!$D$3,'Conto Economico'!$E$3,'Conto Economico'!$F$3,'Conto Economico'!$G$3,'Conto Economico'!$H$3)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Economico'!$D$34:$H$34</c:f>
              <c:numCache>
                <c:formatCode>_-* #,##0_-;\-* #,##0_-;_-* "-"??_-;_-@_-</c:formatCode>
                <c:ptCount val="5"/>
                <c:pt idx="0">
                  <c:v>318910</c:v>
                </c:pt>
                <c:pt idx="1">
                  <c:v>370356</c:v>
                </c:pt>
                <c:pt idx="2">
                  <c:v>426442</c:v>
                </c:pt>
                <c:pt idx="3">
                  <c:v>506380</c:v>
                </c:pt>
                <c:pt idx="4">
                  <c:v>668630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E-438C-B593-D25C2BBDF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419700752"/>
        <c:axId val="419701928"/>
      </c:barChart>
      <c:catAx>
        <c:axId val="41970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1928"/>
        <c:crosses val="autoZero"/>
        <c:auto val="1"/>
        <c:lblAlgn val="ctr"/>
        <c:lblOffset val="100"/>
        <c:noMultiLvlLbl val="0"/>
      </c:catAx>
      <c:valAx>
        <c:axId val="419701928"/>
        <c:scaling>
          <c:orientation val="minMax"/>
        </c:scaling>
        <c:delete val="1"/>
        <c:axPos val="l"/>
        <c:numFmt formatCode="#,##0" sourceLinked="0"/>
        <c:majorTickMark val="out"/>
        <c:minorTickMark val="none"/>
        <c:tickLblPos val="nextTo"/>
        <c:crossAx val="419700752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'Conto Economico'!$A$17</c:f>
              <c:strCache>
                <c:ptCount val="1"/>
                <c:pt idx="0">
                  <c:v>TOTALE RICAVI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'Conto Economico'!$D$3:$H$3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('Conto Economico'!$D$17,'Conto Economico'!$E$17,'Conto Economico'!$F$17,'Conto Economico'!$G$17,'Conto Economico'!$H$17)</c:f>
              <c:numCache>
                <c:formatCode>_-* #,##0_-;\-* #,##0_-;_-* "-"??_-;_-@_-</c:formatCode>
                <c:ptCount val="5"/>
                <c:pt idx="0">
                  <c:v>120500</c:v>
                </c:pt>
                <c:pt idx="1">
                  <c:v>192800</c:v>
                </c:pt>
                <c:pt idx="2">
                  <c:v>747100</c:v>
                </c:pt>
                <c:pt idx="3">
                  <c:v>2169000</c:v>
                </c:pt>
                <c:pt idx="4">
                  <c:v>5181500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C4-496D-910B-0B96485B0FF4}"/>
            </c:ext>
          </c:extLst>
        </c:ser>
        <c:ser>
          <c:idx val="1"/>
          <c:order val="1"/>
          <c:tx>
            <c:strRef>
              <c:f>'Conto Economico'!$A$36</c:f>
              <c:strCache>
                <c:ptCount val="1"/>
                <c:pt idx="0">
                  <c:v>EBITDA ( = Ricavi - Costi)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'Conto Economico'!$D$3:$H$3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'Conto Economico'!$D$36:$H$36</c:f>
              <c:numCache>
                <c:formatCode>_-* #,##0_-;\-* #,##0_-;_-* "-"??_-;_-@_-</c:formatCode>
                <c:ptCount val="5"/>
                <c:pt idx="0">
                  <c:v>-201810</c:v>
                </c:pt>
                <c:pt idx="1">
                  <c:v>-182996</c:v>
                </c:pt>
                <c:pt idx="2">
                  <c:v>299578</c:v>
                </c:pt>
                <c:pt idx="3">
                  <c:v>1601420</c:v>
                </c:pt>
                <c:pt idx="4">
                  <c:v>4366670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C4-496D-910B-0B96485B0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0"/>
        <c:axId val="419702320"/>
        <c:axId val="419699968"/>
      </c:barChart>
      <c:catAx>
        <c:axId val="4197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699968"/>
        <c:crosses val="autoZero"/>
        <c:auto val="1"/>
        <c:lblAlgn val="ctr"/>
        <c:lblOffset val="100"/>
        <c:noMultiLvlLbl val="0"/>
      </c:catAx>
      <c:valAx>
        <c:axId val="41969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it-IT" b="1"/>
                  <a:t>M€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it-IT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2320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'cash flow'!$A$25</c:f>
              <c:strCache>
                <c:ptCount val="1"/>
                <c:pt idx="0">
                  <c:v>Flusso di cassa operativo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'cash flow'!$B$3:$F$3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'cash flow'!$B$25:$F$25</c:f>
              <c:numCache>
                <c:formatCode>#,##0</c:formatCode>
                <c:ptCount val="5"/>
                <c:pt idx="0">
                  <c:v>-292488.2</c:v>
                </c:pt>
                <c:pt idx="1">
                  <c:v>-231455.12</c:v>
                </c:pt>
                <c:pt idx="2">
                  <c:v>314715.31999999995</c:v>
                </c:pt>
                <c:pt idx="3">
                  <c:v>1601420</c:v>
                </c:pt>
                <c:pt idx="4">
                  <c:v>4366670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0B-4545-9B17-6388C268F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700360"/>
        <c:axId val="419703104"/>
      </c:lineChart>
      <c:catAx>
        <c:axId val="419700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3104"/>
        <c:crosses val="autoZero"/>
        <c:auto val="1"/>
        <c:lblAlgn val="ctr"/>
        <c:lblOffset val="100"/>
        <c:noMultiLvlLbl val="0"/>
      </c:catAx>
      <c:valAx>
        <c:axId val="419703104"/>
        <c:scaling>
          <c:orientation val="minMax"/>
          <c:max val="2000000"/>
          <c:min val="-10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0360"/>
        <c:crosses val="autoZero"/>
        <c:crossBetween val="between"/>
        <c:majorUnit val="500000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'cash flow'!$A$23</c:f>
              <c:strCache>
                <c:ptCount val="1"/>
                <c:pt idx="0">
                  <c:v>C - TOTALE GESTIONE OPERATIVA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'cash flow'!$B$3:$F$3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'cash flow'!$B$23:$F$23</c:f>
              <c:numCache>
                <c:formatCode>#,##0</c:formatCode>
                <c:ptCount val="5"/>
                <c:pt idx="0">
                  <c:v>-202208.2</c:v>
                </c:pt>
                <c:pt idx="1">
                  <c:v>-170455.12</c:v>
                </c:pt>
                <c:pt idx="2">
                  <c:v>314715.31999999995</c:v>
                </c:pt>
                <c:pt idx="3">
                  <c:v>1601420</c:v>
                </c:pt>
                <c:pt idx="4">
                  <c:v>4366670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BB-4817-BCAB-1C0B1420C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698008"/>
        <c:axId val="419703888"/>
      </c:lineChart>
      <c:catAx>
        <c:axId val="41969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3888"/>
        <c:crossesAt val="0"/>
        <c:auto val="1"/>
        <c:lblAlgn val="ctr"/>
        <c:lblOffset val="100"/>
        <c:noMultiLvlLbl val="0"/>
      </c:catAx>
      <c:valAx>
        <c:axId val="419703888"/>
        <c:scaling>
          <c:orientation val="minMax"/>
          <c:max val="2000000"/>
          <c:min val="-300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698008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358705161854698E-2"/>
          <c:y val="0.17171296296296301"/>
          <c:w val="0.91553018372703299"/>
          <c:h val="0.72088764946048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'cash flow'!$A$11</c:f>
              <c:strCache>
                <c:ptCount val="1"/>
                <c:pt idx="0">
                  <c:v>Investimenti da terzi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'cash flow'!$B$3:$F$3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'cash flow'!$B$11:$F$11</c:f>
              <c:numCache>
                <c:formatCode>#,##0</c:formatCode>
                <c:ptCount val="5"/>
                <c:pt idx="0">
                  <c:v>250000</c:v>
                </c:pt>
                <c:pt idx="1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7-47A1-97BF-274701348B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9702712"/>
        <c:axId val="419705064"/>
      </c:barChart>
      <c:catAx>
        <c:axId val="419702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it-IT"/>
          </a:p>
        </c:txPr>
        <c:crossAx val="419705064"/>
        <c:crosses val="autoZero"/>
        <c:auto val="1"/>
        <c:lblAlgn val="ctr"/>
        <c:lblOffset val="100"/>
        <c:noMultiLvlLbl val="0"/>
      </c:catAx>
      <c:valAx>
        <c:axId val="419705064"/>
        <c:scaling>
          <c:orientation val="minMax"/>
          <c:max val="500000"/>
          <c:min val="0"/>
        </c:scaling>
        <c:delete val="1"/>
        <c:axPos val="l"/>
        <c:numFmt formatCode="#,##0" sourceLinked="1"/>
        <c:majorTickMark val="out"/>
        <c:minorTickMark val="none"/>
        <c:tickLblPos val="nextTo"/>
        <c:crossAx val="419702712"/>
        <c:crosses val="autoZero"/>
        <c:crossBetween val="between"/>
        <c:majorUnit val="1000000"/>
        <c:dispUnits>
          <c:builtInUnit val="thousands"/>
        </c:dispUnits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 Narrow" panose="020B0606020202030204" pitchFamily="34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19049</xdr:colOff>
      <xdr:row>33</xdr:row>
      <xdr:rowOff>0</xdr:rowOff>
    </xdr:from>
    <xdr:to>
      <xdr:col>16</xdr:col>
      <xdr:colOff>257174</xdr:colOff>
      <xdr:row>45</xdr:row>
      <xdr:rowOff>69056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7005</xdr:colOff>
      <xdr:row>16</xdr:row>
      <xdr:rowOff>0</xdr:rowOff>
    </xdr:from>
    <xdr:to>
      <xdr:col>16</xdr:col>
      <xdr:colOff>245130</xdr:colOff>
      <xdr:row>26</xdr:row>
      <xdr:rowOff>59532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28013</xdr:colOff>
      <xdr:row>1</xdr:row>
      <xdr:rowOff>0</xdr:rowOff>
    </xdr:from>
    <xdr:to>
      <xdr:col>16</xdr:col>
      <xdr:colOff>296955</xdr:colOff>
      <xdr:row>16</xdr:row>
      <xdr:rowOff>0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46</xdr:row>
      <xdr:rowOff>0</xdr:rowOff>
    </xdr:from>
    <xdr:to>
      <xdr:col>16</xdr:col>
      <xdr:colOff>238125</xdr:colOff>
      <xdr:row>59</xdr:row>
      <xdr:rowOff>0</xdr:rowOff>
    </xdr:to>
    <xdr:graphicFrame macro="">
      <xdr:nvGraphicFramePr>
        <xdr:cNvPr id="12" name="Grafic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26</xdr:row>
      <xdr:rowOff>214311</xdr:rowOff>
    </xdr:from>
    <xdr:to>
      <xdr:col>16</xdr:col>
      <xdr:colOff>238125</xdr:colOff>
      <xdr:row>32</xdr:row>
      <xdr:rowOff>83343</xdr:rowOff>
    </xdr:to>
    <xdr:graphicFrame macro="">
      <xdr:nvGraphicFramePr>
        <xdr:cNvPr id="13" name="Grafic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16</xdr:row>
      <xdr:rowOff>0</xdr:rowOff>
    </xdr:from>
    <xdr:to>
      <xdr:col>24</xdr:col>
      <xdr:colOff>321469</xdr:colOff>
      <xdr:row>27</xdr:row>
      <xdr:rowOff>0</xdr:rowOff>
    </xdr:to>
    <xdr:graphicFrame macro="">
      <xdr:nvGraphicFramePr>
        <xdr:cNvPr id="14" name="Grafic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76</xdr:row>
      <xdr:rowOff>53824</xdr:rowOff>
    </xdr:from>
    <xdr:to>
      <xdr:col>7</xdr:col>
      <xdr:colOff>992414</xdr:colOff>
      <xdr:row>101</xdr:row>
      <xdr:rowOff>117928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14063738"/>
          <a:ext cx="8340271" cy="44183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>
              <a:solidFill>
                <a:schemeClr val="tx1"/>
              </a:solidFill>
              <a:latin typeface="Arial Narrow" panose="020B0606020202030204" pitchFamily="34" charset="0"/>
            </a:rPr>
            <a:t>lezioni online 20  -&gt; ricavo:</a:t>
          </a:r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 4</a:t>
          </a:r>
          <a:br>
            <a:rPr lang="it-IT" sz="1100" b="1">
              <a:solidFill>
                <a:schemeClr val="tx1"/>
              </a:solidFill>
              <a:latin typeface="Arial Narrow" panose="020B0606020202030204" pitchFamily="34" charset="0"/>
            </a:rPr>
          </a:br>
          <a:r>
            <a:rPr lang="it-IT" sz="1100" b="1">
              <a:solidFill>
                <a:schemeClr val="tx1"/>
              </a:solidFill>
              <a:latin typeface="Arial Narrow" panose="020B0606020202030204" pitchFamily="34" charset="0"/>
            </a:rPr>
            <a:t>lezioni</a:t>
          </a:r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 in presenza 30 -&gt; ricavo: 6</a:t>
          </a:r>
        </a:p>
        <a:p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pubblicità pay per impression, prendiamo 10 euro ogni 1000 visualizzazioni considerando che ogni accesso equivale ad almeno una visualizzazione.</a:t>
          </a:r>
        </a:p>
        <a:p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noi ci prendiamo il 20% per ogni ora di lezione e abbiamo considerato lezioni da un'ora</a:t>
          </a:r>
        </a:p>
        <a:p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supporto clienti automatizzato -&gt; 1 euro</a:t>
          </a:r>
        </a:p>
        <a:p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costi fissi primo anno:</a:t>
          </a:r>
        </a:p>
        <a:p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canoni: affitto ufficio 1000 euro al mese e licenze software 300 euro al mese</a:t>
          </a:r>
        </a:p>
        <a:p>
          <a:r>
            <a:rPr lang="it-IT" sz="1100" b="1">
              <a:solidFill>
                <a:schemeClr val="tx1"/>
              </a:solidFill>
              <a:latin typeface="Arial Narrow" panose="020B0606020202030204" pitchFamily="34" charset="0"/>
            </a:rPr>
            <a:t>spese generali:</a:t>
          </a:r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 utenze 500 euro al mese, materiali di consumo (es. materiale da ufficio o informatico) 200 euro al mese, assicurazioni e spese amministrative 1000 euro l'anno</a:t>
          </a:r>
        </a:p>
        <a:p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consulenze: legali e fiscali 5000 euro l'anno, di marketing 5000 euro l'anno e per lo sviluppo aziendale 5000 euro l'anno</a:t>
          </a:r>
        </a:p>
        <a:p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spese commerciali: </a:t>
          </a:r>
          <a:r>
            <a:rPr lang="it-IT" b="1">
              <a:solidFill>
                <a:schemeClr val="tx1"/>
              </a:solidFill>
              <a:latin typeface="Arial Narrow" panose="020B0606020202030204" pitchFamily="34" charset="0"/>
            </a:rPr>
            <a:t>Incentivi e commissioni per acquisizioni clienti: 2% dei ricavi</a:t>
          </a:r>
        </a:p>
        <a:p>
          <a:endParaRPr lang="it-IT" sz="1100" b="1">
            <a:solidFill>
              <a:schemeClr val="tx1"/>
            </a:solidFill>
            <a:latin typeface="Arial Narrow" panose="020B0606020202030204" pitchFamily="34" charset="0"/>
          </a:endParaRPr>
        </a:p>
        <a:p>
          <a:r>
            <a:rPr lang="it-IT" sz="1100" b="1">
              <a:solidFill>
                <a:schemeClr val="tx1"/>
              </a:solidFill>
              <a:latin typeface="Arial Narrow" panose="020B0606020202030204" pitchFamily="34" charset="0"/>
            </a:rPr>
            <a:t>Aumento dei costi graduale negli anni.</a:t>
          </a:r>
        </a:p>
        <a:p>
          <a:endParaRPr lang="it-IT" sz="1100" b="1">
            <a:solidFill>
              <a:schemeClr val="tx1"/>
            </a:solidFill>
            <a:latin typeface="Arial Narrow" panose="020B0606020202030204" pitchFamily="34" charset="0"/>
          </a:endParaRPr>
        </a:p>
        <a:p>
          <a:r>
            <a:rPr lang="it-IT" sz="1100" b="1">
              <a:solidFill>
                <a:schemeClr val="tx1"/>
              </a:solidFill>
              <a:latin typeface="Arial Narrow" panose="020B0606020202030204" pitchFamily="34" charset="0"/>
            </a:rPr>
            <a:t>Nel cash flow, nella sezione mezzi propri abbiamo considerato 10000</a:t>
          </a:r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 euro a testa di investimento iniziale.</a:t>
          </a:r>
        </a:p>
        <a:p>
          <a:r>
            <a:rPr lang="it-IT" sz="1100" b="1">
              <a:solidFill>
                <a:schemeClr val="tx1"/>
              </a:solidFill>
              <a:latin typeface="Arial Narrow" panose="020B0606020202030204" pitchFamily="34" charset="0"/>
            </a:rPr>
            <a:t>nella sezione investimenti</a:t>
          </a:r>
          <a:r>
            <a:rPr lang="it-IT" sz="1100" b="1" baseline="0">
              <a:solidFill>
                <a:schemeClr val="tx1"/>
              </a:solidFill>
              <a:latin typeface="Arial Narrow" panose="020B0606020202030204" pitchFamily="34" charset="0"/>
            </a:rPr>
            <a:t> da terzi nel primo anno abbiamo messo 100000 di cui 30000 di crowdfunding e 70000 da investitori, mentre nel secondo anno abbiamo considerato 100000 da investitori</a:t>
          </a:r>
          <a:endParaRPr lang="it-IT" sz="1100" b="1">
            <a:solidFill>
              <a:schemeClr val="tx1"/>
            </a:solidFill>
            <a:latin typeface="Arial Narrow" panose="020B060602020203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</xdr:colOff>
      <xdr:row>28</xdr:row>
      <xdr:rowOff>14287</xdr:rowOff>
    </xdr:from>
    <xdr:to>
      <xdr:col>14</xdr:col>
      <xdr:colOff>328612</xdr:colOff>
      <xdr:row>41</xdr:row>
      <xdr:rowOff>128587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15</xdr:row>
      <xdr:rowOff>19050</xdr:rowOff>
    </xdr:from>
    <xdr:to>
      <xdr:col>14</xdr:col>
      <xdr:colOff>333375</xdr:colOff>
      <xdr:row>26</xdr:row>
      <xdr:rowOff>38100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95251</xdr:colOff>
      <xdr:row>0</xdr:row>
      <xdr:rowOff>119064</xdr:rowOff>
    </xdr:from>
    <xdr:to>
      <xdr:col>14</xdr:col>
      <xdr:colOff>400051</xdr:colOff>
      <xdr:row>14</xdr:row>
      <xdr:rowOff>119064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7" sqref="A7"/>
    </sheetView>
  </sheetViews>
  <sheetFormatPr baseColWidth="10" defaultColWidth="9.1640625" defaultRowHeight="14" x14ac:dyDescent="0.15"/>
  <cols>
    <col min="1" max="1" width="77.83203125" style="40" bestFit="1" customWidth="1"/>
    <col min="2" max="16384" width="9.1640625" style="40"/>
  </cols>
  <sheetData>
    <row r="1" spans="1:1" x14ac:dyDescent="0.15">
      <c r="A1" s="117" t="s">
        <v>57</v>
      </c>
    </row>
    <row r="2" spans="1:1" ht="15" x14ac:dyDescent="0.15">
      <c r="A2" s="98" t="s">
        <v>58</v>
      </c>
    </row>
    <row r="3" spans="1:1" ht="15" x14ac:dyDescent="0.15">
      <c r="A3" s="98" t="s">
        <v>59</v>
      </c>
    </row>
    <row r="4" spans="1:1" ht="15" x14ac:dyDescent="0.15">
      <c r="A4" s="98" t="s">
        <v>60</v>
      </c>
    </row>
    <row r="5" spans="1:1" ht="15" x14ac:dyDescent="0.15">
      <c r="A5" s="98" t="s">
        <v>61</v>
      </c>
    </row>
    <row r="6" spans="1:1" ht="15" x14ac:dyDescent="0.15">
      <c r="A6" s="121" t="s">
        <v>62</v>
      </c>
    </row>
    <row r="7" spans="1:1" x14ac:dyDescent="0.15">
      <c r="A7" s="100"/>
    </row>
    <row r="8" spans="1:1" x14ac:dyDescent="0.15">
      <c r="A8" s="100"/>
    </row>
    <row r="9" spans="1:1" x14ac:dyDescent="0.15">
      <c r="A9" s="99"/>
    </row>
    <row r="10" spans="1:1" x14ac:dyDescent="0.15">
      <c r="A10" s="9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1"/>
  <sheetViews>
    <sheetView showGridLines="0" zoomScale="125" zoomScaleNormal="70" zoomScalePageLayoutView="85" workbookViewId="0">
      <selection activeCell="H18" sqref="H18"/>
    </sheetView>
  </sheetViews>
  <sheetFormatPr baseColWidth="10" defaultColWidth="8.83203125" defaultRowHeight="14" x14ac:dyDescent="0.15"/>
  <cols>
    <col min="1" max="1" width="31.83203125" style="40" customWidth="1"/>
    <col min="2" max="2" width="11.5" style="40" bestFit="1" customWidth="1"/>
    <col min="3" max="3" width="9.1640625" style="40" customWidth="1"/>
    <col min="4" max="4" width="12.5" style="40" bestFit="1" customWidth="1"/>
    <col min="5" max="5" width="13.6640625" style="40" bestFit="1" customWidth="1"/>
    <col min="6" max="7" width="14.33203125" style="40" bestFit="1" customWidth="1"/>
    <col min="8" max="8" width="15.33203125" style="40" bestFit="1" customWidth="1"/>
    <col min="9" max="9" width="6.33203125" style="40" customWidth="1"/>
    <col min="10" max="10" width="10.1640625" style="40" bestFit="1" customWidth="1"/>
    <col min="11" max="16384" width="8.83203125" style="40"/>
  </cols>
  <sheetData>
    <row r="1" spans="1:10" s="118" customFormat="1" ht="40.25" customHeight="1" x14ac:dyDescent="0.2">
      <c r="A1" s="151" t="s">
        <v>56</v>
      </c>
      <c r="B1" s="151"/>
      <c r="C1" s="151"/>
      <c r="D1" s="151"/>
      <c r="E1" s="151"/>
      <c r="F1" s="151"/>
      <c r="G1" s="151"/>
      <c r="H1" s="151"/>
    </row>
    <row r="2" spans="1:10" x14ac:dyDescent="0.15">
      <c r="B2" s="47"/>
      <c r="C2" s="43"/>
      <c r="I2" s="43"/>
    </row>
    <row r="3" spans="1:10" ht="18" x14ac:dyDescent="0.2">
      <c r="A3" s="123" t="s">
        <v>63</v>
      </c>
      <c r="B3" s="48"/>
      <c r="C3" s="49"/>
      <c r="D3" s="110" t="s">
        <v>2</v>
      </c>
      <c r="E3" s="110" t="s">
        <v>3</v>
      </c>
      <c r="F3" s="110" t="s">
        <v>4</v>
      </c>
      <c r="G3" s="110" t="s">
        <v>5</v>
      </c>
      <c r="H3" s="111" t="s">
        <v>6</v>
      </c>
      <c r="I3" s="43"/>
    </row>
    <row r="4" spans="1:10" x14ac:dyDescent="0.15">
      <c r="A4" s="27" t="s">
        <v>38</v>
      </c>
      <c r="B4" s="48"/>
      <c r="C4" s="49"/>
      <c r="D4" s="48"/>
      <c r="E4" s="48"/>
      <c r="F4" s="48"/>
      <c r="G4" s="48"/>
      <c r="H4" s="109"/>
      <c r="I4" s="43"/>
    </row>
    <row r="5" spans="1:10" x14ac:dyDescent="0.15">
      <c r="A5" s="137" t="s">
        <v>84</v>
      </c>
      <c r="B5" s="45"/>
      <c r="C5" s="46"/>
      <c r="D5" s="43">
        <v>1200</v>
      </c>
      <c r="E5" s="43">
        <v>2000</v>
      </c>
      <c r="F5" s="43">
        <v>10000</v>
      </c>
      <c r="G5" s="43">
        <v>30000</v>
      </c>
      <c r="H5" s="50">
        <v>70000</v>
      </c>
      <c r="I5" s="43"/>
    </row>
    <row r="6" spans="1:10" x14ac:dyDescent="0.15">
      <c r="A6" s="137" t="s">
        <v>85</v>
      </c>
      <c r="B6" s="45"/>
      <c r="C6" s="46"/>
      <c r="D6" s="43">
        <v>800</v>
      </c>
      <c r="E6" s="43">
        <v>1200</v>
      </c>
      <c r="F6" s="43">
        <v>2400</v>
      </c>
      <c r="G6" s="43">
        <v>6000</v>
      </c>
      <c r="H6" s="50">
        <v>16000</v>
      </c>
      <c r="I6" s="43"/>
    </row>
    <row r="7" spans="1:10" x14ac:dyDescent="0.15">
      <c r="A7" s="44"/>
      <c r="B7" s="45"/>
      <c r="C7" s="46"/>
      <c r="D7" s="43"/>
      <c r="E7" s="43"/>
      <c r="F7" s="43"/>
      <c r="G7" s="43"/>
      <c r="H7" s="50"/>
      <c r="I7" s="43"/>
    </row>
    <row r="8" spans="1:10" ht="15" thickBot="1" x14ac:dyDescent="0.2">
      <c r="A8" s="51" t="s">
        <v>39</v>
      </c>
      <c r="B8" s="52"/>
      <c r="C8" s="52"/>
      <c r="D8" s="53">
        <f>SUM(D5:D7)</f>
        <v>2000</v>
      </c>
      <c r="E8" s="53">
        <f>SUM(E5:E7)</f>
        <v>3200</v>
      </c>
      <c r="F8" s="53">
        <f>SUM(F5:F7)</f>
        <v>12400</v>
      </c>
      <c r="G8" s="53">
        <f>SUM(G5:G7)</f>
        <v>36000</v>
      </c>
      <c r="H8" s="54">
        <f>SUM(H5:H7)</f>
        <v>86000</v>
      </c>
      <c r="I8" s="47"/>
      <c r="J8" s="43"/>
    </row>
    <row r="9" spans="1:10" ht="15" thickTop="1" x14ac:dyDescent="0.15">
      <c r="A9" s="44"/>
      <c r="B9" s="139" t="s">
        <v>89</v>
      </c>
      <c r="C9" s="139" t="s">
        <v>90</v>
      </c>
      <c r="H9" s="108"/>
      <c r="J9" s="43"/>
    </row>
    <row r="10" spans="1:10" x14ac:dyDescent="0.15">
      <c r="A10" s="138" t="s">
        <v>86</v>
      </c>
      <c r="B10" s="140">
        <v>4</v>
      </c>
      <c r="C10" s="55">
        <v>15</v>
      </c>
      <c r="D10" s="55">
        <f>C10*B10</f>
        <v>60</v>
      </c>
      <c r="E10" s="55">
        <f>C10*B10</f>
        <v>60</v>
      </c>
      <c r="F10" s="55">
        <f>C10*B10</f>
        <v>60</v>
      </c>
      <c r="G10" s="55">
        <f>C10*B10</f>
        <v>60</v>
      </c>
      <c r="H10" s="42">
        <f>C10*B10</f>
        <v>60</v>
      </c>
    </row>
    <row r="11" spans="1:10" x14ac:dyDescent="0.15">
      <c r="A11" s="137" t="s">
        <v>87</v>
      </c>
      <c r="B11" s="143">
        <v>6</v>
      </c>
      <c r="C11" s="40">
        <v>10</v>
      </c>
      <c r="D11" s="40">
        <f>C11*B11</f>
        <v>60</v>
      </c>
      <c r="E11" s="40">
        <f>C11*B11</f>
        <v>60</v>
      </c>
      <c r="F11" s="40">
        <f>C11*B11</f>
        <v>60</v>
      </c>
      <c r="G11" s="40">
        <f>C11*B11</f>
        <v>60</v>
      </c>
      <c r="H11" s="108">
        <f>C11*B11</f>
        <v>60</v>
      </c>
    </row>
    <row r="12" spans="1:10" x14ac:dyDescent="0.15">
      <c r="A12" s="137"/>
      <c r="B12" s="144" t="s">
        <v>93</v>
      </c>
      <c r="C12" s="139">
        <f>C11+C10</f>
        <v>25</v>
      </c>
      <c r="H12" s="108"/>
    </row>
    <row r="13" spans="1:10" x14ac:dyDescent="0.15">
      <c r="A13" s="137" t="s">
        <v>92</v>
      </c>
      <c r="B13" s="143">
        <v>0.01</v>
      </c>
      <c r="D13" s="40">
        <f>B13*D8*C12</f>
        <v>500</v>
      </c>
      <c r="E13" s="40">
        <f>B13*E8*C12</f>
        <v>800</v>
      </c>
      <c r="F13" s="40">
        <f>B13*F8*C12</f>
        <v>3100</v>
      </c>
      <c r="G13" s="40">
        <f>B13*G8*C12</f>
        <v>9000</v>
      </c>
      <c r="H13" s="108">
        <f>B13*H8*C12</f>
        <v>21500</v>
      </c>
    </row>
    <row r="14" spans="1:10" x14ac:dyDescent="0.15">
      <c r="A14" s="44"/>
      <c r="B14" s="45"/>
      <c r="H14" s="108"/>
    </row>
    <row r="15" spans="1:10" ht="15" thickBot="1" x14ac:dyDescent="0.2">
      <c r="A15" s="60" t="s">
        <v>41</v>
      </c>
      <c r="B15" s="124"/>
      <c r="C15" s="124"/>
      <c r="D15" s="125">
        <f>$D5*D10</f>
        <v>72000</v>
      </c>
      <c r="E15" s="125">
        <f>$E5*E10</f>
        <v>120000</v>
      </c>
      <c r="F15" s="125">
        <f>$F5*F10</f>
        <v>600000</v>
      </c>
      <c r="G15" s="125">
        <f>$G5*G10</f>
        <v>1800000</v>
      </c>
      <c r="H15" s="126">
        <f>$H5*H10</f>
        <v>4200000</v>
      </c>
    </row>
    <row r="16" spans="1:10" ht="16" thickTop="1" thickBot="1" x14ac:dyDescent="0.2">
      <c r="A16" s="60" t="s">
        <v>40</v>
      </c>
      <c r="B16" s="124"/>
      <c r="C16" s="124"/>
      <c r="D16" s="125">
        <f>$D6*D11</f>
        <v>48000</v>
      </c>
      <c r="E16" s="125">
        <f>$E6*E11</f>
        <v>72000</v>
      </c>
      <c r="F16" s="125">
        <f>$F6*F11</f>
        <v>144000</v>
      </c>
      <c r="G16" s="125">
        <f>$G6*G11</f>
        <v>360000</v>
      </c>
      <c r="H16" s="126">
        <f>$H6*H11</f>
        <v>960000</v>
      </c>
    </row>
    <row r="17" spans="1:9" ht="16" thickTop="1" thickBot="1" x14ac:dyDescent="0.2">
      <c r="A17" s="60" t="s">
        <v>36</v>
      </c>
      <c r="B17" s="61"/>
      <c r="C17" s="61"/>
      <c r="D17" s="153">
        <f>SUM(D15:D16) + D13</f>
        <v>120500</v>
      </c>
      <c r="E17" s="62">
        <f t="shared" ref="E17:H17" si="0">SUM(E15:E16) + E13</f>
        <v>192800</v>
      </c>
      <c r="F17" s="62">
        <f t="shared" si="0"/>
        <v>747100</v>
      </c>
      <c r="G17" s="62">
        <f t="shared" si="0"/>
        <v>2169000</v>
      </c>
      <c r="H17" s="63">
        <f>SUM(H15:H16) + H13</f>
        <v>5181500</v>
      </c>
      <c r="I17" s="64"/>
    </row>
    <row r="18" spans="1:9" ht="15" thickTop="1" x14ac:dyDescent="0.15">
      <c r="D18" s="65"/>
      <c r="E18" s="65"/>
      <c r="F18" s="65"/>
      <c r="G18" s="65"/>
      <c r="H18" s="59"/>
      <c r="I18" s="64"/>
    </row>
    <row r="19" spans="1:9" ht="18" x14ac:dyDescent="0.2">
      <c r="A19" s="123" t="s">
        <v>78</v>
      </c>
      <c r="B19" s="48"/>
      <c r="C19" s="49"/>
      <c r="D19" s="110" t="s">
        <v>2</v>
      </c>
      <c r="E19" s="110" t="s">
        <v>3</v>
      </c>
      <c r="F19" s="110" t="s">
        <v>4</v>
      </c>
      <c r="G19" s="110" t="s">
        <v>5</v>
      </c>
      <c r="H19" s="111" t="s">
        <v>6</v>
      </c>
    </row>
    <row r="20" spans="1:9" ht="16" x14ac:dyDescent="0.2">
      <c r="A20" s="66" t="s">
        <v>83</v>
      </c>
      <c r="B20" s="55" t="s">
        <v>0</v>
      </c>
      <c r="C20" s="55"/>
      <c r="D20" s="56"/>
      <c r="E20" s="56"/>
      <c r="F20" s="56"/>
      <c r="G20" s="56"/>
      <c r="H20" s="57"/>
    </row>
    <row r="21" spans="1:9" x14ac:dyDescent="0.15">
      <c r="A21" s="44" t="s">
        <v>42</v>
      </c>
      <c r="B21" s="119">
        <v>0.7</v>
      </c>
      <c r="C21" s="43"/>
      <c r="D21" s="58">
        <f>D8*$B21</f>
        <v>1400</v>
      </c>
      <c r="E21" s="58">
        <f>E8*$B21</f>
        <v>2240</v>
      </c>
      <c r="F21" s="58">
        <f>F8*$B21</f>
        <v>8680</v>
      </c>
      <c r="G21" s="58">
        <f>G8*$B21</f>
        <v>25200</v>
      </c>
      <c r="H21" s="59">
        <f>H8*$B21</f>
        <v>60199.999999999993</v>
      </c>
    </row>
    <row r="22" spans="1:9" x14ac:dyDescent="0.15">
      <c r="A22" s="137" t="s">
        <v>88</v>
      </c>
      <c r="B22" s="119">
        <v>1</v>
      </c>
      <c r="C22" s="43"/>
      <c r="D22" s="58">
        <f>D8*$B22</f>
        <v>2000</v>
      </c>
      <c r="E22" s="58">
        <f>E8*$B22</f>
        <v>3200</v>
      </c>
      <c r="F22" s="58">
        <f>F8*$B22</f>
        <v>12400</v>
      </c>
      <c r="G22" s="58">
        <f>G8*$B22</f>
        <v>36000</v>
      </c>
      <c r="H22" s="59">
        <f>H8*$B22</f>
        <v>86000</v>
      </c>
    </row>
    <row r="23" spans="1:9" x14ac:dyDescent="0.15">
      <c r="A23" s="122"/>
      <c r="B23" s="119"/>
      <c r="C23" s="43"/>
      <c r="D23" s="58"/>
      <c r="E23" s="58"/>
      <c r="F23" s="58"/>
      <c r="G23" s="58"/>
      <c r="H23" s="59"/>
    </row>
    <row r="24" spans="1:9" ht="15" thickBot="1" x14ac:dyDescent="0.2">
      <c r="A24" s="60" t="s">
        <v>53</v>
      </c>
      <c r="B24" s="61"/>
      <c r="C24" s="61"/>
      <c r="D24" s="62">
        <f>+D21+D22</f>
        <v>3400</v>
      </c>
      <c r="E24" s="62">
        <f>+E22+E21</f>
        <v>5440</v>
      </c>
      <c r="F24" s="62">
        <f>+F22+F21</f>
        <v>21080</v>
      </c>
      <c r="G24" s="62">
        <f>+G22+G21</f>
        <v>61200</v>
      </c>
      <c r="H24" s="63">
        <f>+H21+H22</f>
        <v>146200</v>
      </c>
      <c r="I24" s="64"/>
    </row>
    <row r="25" spans="1:9" ht="15" thickTop="1" x14ac:dyDescent="0.15">
      <c r="A25" s="44"/>
      <c r="D25" s="58"/>
      <c r="E25" s="58"/>
      <c r="F25" s="58"/>
      <c r="G25" s="58"/>
      <c r="H25" s="59"/>
    </row>
    <row r="26" spans="1:9" x14ac:dyDescent="0.15">
      <c r="A26" s="33" t="s">
        <v>81</v>
      </c>
      <c r="D26" s="58"/>
      <c r="E26" s="58"/>
      <c r="F26" s="58"/>
      <c r="G26" s="58"/>
      <c r="H26" s="59"/>
    </row>
    <row r="27" spans="1:9" x14ac:dyDescent="0.15">
      <c r="A27" s="44" t="s">
        <v>43</v>
      </c>
      <c r="B27" s="119"/>
      <c r="D27" s="43">
        <v>200000</v>
      </c>
      <c r="E27" s="43">
        <v>240000</v>
      </c>
      <c r="F27" s="43">
        <v>270000</v>
      </c>
      <c r="G27" s="43">
        <v>300000</v>
      </c>
      <c r="H27" s="50">
        <v>350000</v>
      </c>
    </row>
    <row r="28" spans="1:9" x14ac:dyDescent="0.15">
      <c r="A28" s="137" t="s">
        <v>45</v>
      </c>
      <c r="B28" s="119"/>
      <c r="D28" s="43">
        <v>15600</v>
      </c>
      <c r="E28" s="43">
        <v>15600</v>
      </c>
      <c r="F28" s="43">
        <v>15600</v>
      </c>
      <c r="G28" s="43">
        <v>20000</v>
      </c>
      <c r="H28" s="50">
        <v>25000</v>
      </c>
    </row>
    <row r="29" spans="1:9" x14ac:dyDescent="0.15">
      <c r="A29" s="44" t="s">
        <v>44</v>
      </c>
      <c r="B29" s="119"/>
      <c r="D29" s="43">
        <v>9400</v>
      </c>
      <c r="E29" s="43">
        <v>9400</v>
      </c>
      <c r="F29" s="43">
        <v>9400</v>
      </c>
      <c r="G29" s="43">
        <v>15000</v>
      </c>
      <c r="H29" s="50">
        <v>20000</v>
      </c>
    </row>
    <row r="30" spans="1:9" x14ac:dyDescent="0.15">
      <c r="A30" s="44" t="s">
        <v>46</v>
      </c>
      <c r="B30" s="119"/>
      <c r="D30" s="43">
        <v>15000</v>
      </c>
      <c r="E30" s="43">
        <v>15000</v>
      </c>
      <c r="F30" s="43">
        <v>20000</v>
      </c>
      <c r="G30" s="43">
        <v>20000</v>
      </c>
      <c r="H30" s="50">
        <v>40000</v>
      </c>
    </row>
    <row r="31" spans="1:9" x14ac:dyDescent="0.15">
      <c r="A31" s="44" t="s">
        <v>1</v>
      </c>
      <c r="D31" s="43">
        <v>70000</v>
      </c>
      <c r="E31" s="43">
        <v>80000</v>
      </c>
      <c r="F31" s="43">
        <v>90000</v>
      </c>
      <c r="G31" s="43">
        <v>100000</v>
      </c>
      <c r="H31" s="50">
        <v>120000</v>
      </c>
    </row>
    <row r="32" spans="1:9" x14ac:dyDescent="0.15">
      <c r="A32" s="44" t="s">
        <v>13</v>
      </c>
      <c r="B32" s="146" t="s">
        <v>98</v>
      </c>
      <c r="C32" s="145">
        <v>0.02</v>
      </c>
      <c r="D32" s="43">
        <f>C32*D17</f>
        <v>2410</v>
      </c>
      <c r="E32" s="43">
        <f>C32*E17</f>
        <v>3856</v>
      </c>
      <c r="F32" s="43">
        <f>C32*F17</f>
        <v>14942</v>
      </c>
      <c r="G32" s="43">
        <f>C32*G17</f>
        <v>43380</v>
      </c>
      <c r="H32" s="50">
        <f>C32*H17</f>
        <v>103630</v>
      </c>
    </row>
    <row r="33" spans="1:9" x14ac:dyDescent="0.15">
      <c r="A33" s="141" t="s">
        <v>14</v>
      </c>
      <c r="B33" s="120"/>
      <c r="C33" s="67"/>
      <c r="D33" s="68">
        <v>6500</v>
      </c>
      <c r="E33" s="68">
        <v>6500</v>
      </c>
      <c r="F33" s="68">
        <v>6500</v>
      </c>
      <c r="G33" s="68">
        <v>8000</v>
      </c>
      <c r="H33" s="147">
        <v>10000</v>
      </c>
    </row>
    <row r="34" spans="1:9" ht="15" thickBot="1" x14ac:dyDescent="0.2">
      <c r="A34" s="60" t="s">
        <v>82</v>
      </c>
      <c r="B34" s="61"/>
      <c r="C34" s="61"/>
      <c r="D34" s="62">
        <f>SUM(D27:D33)</f>
        <v>318910</v>
      </c>
      <c r="E34" s="62">
        <f t="shared" ref="E34:G34" si="1">SUM(E27:E33)</f>
        <v>370356</v>
      </c>
      <c r="F34" s="62">
        <f t="shared" si="1"/>
        <v>426442</v>
      </c>
      <c r="G34" s="62">
        <f t="shared" si="1"/>
        <v>506380</v>
      </c>
      <c r="H34" s="63">
        <f>SUM(H27:H33)</f>
        <v>668630</v>
      </c>
      <c r="I34" s="64"/>
    </row>
    <row r="35" spans="1:9" ht="15" thickTop="1" x14ac:dyDescent="0.15">
      <c r="H35" s="108"/>
    </row>
    <row r="36" spans="1:9" ht="15" thickBot="1" x14ac:dyDescent="0.2">
      <c r="A36" s="60" t="s">
        <v>79</v>
      </c>
      <c r="B36" s="61"/>
      <c r="C36" s="61"/>
      <c r="D36" s="62">
        <f>D17-D24-D34</f>
        <v>-201810</v>
      </c>
      <c r="E36" s="62">
        <f>E17-E24-E34</f>
        <v>-182996</v>
      </c>
      <c r="F36" s="62">
        <f>F17-F24-F34</f>
        <v>299578</v>
      </c>
      <c r="G36" s="62">
        <f>G17-G24-G34</f>
        <v>1601420</v>
      </c>
      <c r="H36" s="63">
        <f>H17-H24-H34</f>
        <v>4366670</v>
      </c>
      <c r="I36" s="64"/>
    </row>
    <row r="37" spans="1:9" ht="16" thickTop="1" thickBot="1" x14ac:dyDescent="0.2">
      <c r="A37" s="69"/>
      <c r="B37" s="70"/>
      <c r="C37" s="70"/>
      <c r="D37" s="71"/>
      <c r="E37" s="71"/>
      <c r="F37" s="71"/>
      <c r="G37" s="71"/>
      <c r="H37" s="72"/>
    </row>
    <row r="38" spans="1:9" ht="15" thickTop="1" x14ac:dyDescent="0.15">
      <c r="H38" s="108"/>
    </row>
    <row r="39" spans="1:9" x14ac:dyDescent="0.15">
      <c r="A39" s="41" t="s">
        <v>47</v>
      </c>
      <c r="B39" s="55"/>
      <c r="C39" s="55"/>
      <c r="D39" s="73">
        <f>+D70</f>
        <v>14800</v>
      </c>
      <c r="E39" s="73">
        <f>+E70</f>
        <v>24800</v>
      </c>
      <c r="F39" s="73">
        <f>+F70</f>
        <v>24800</v>
      </c>
      <c r="G39" s="73">
        <f>+G70</f>
        <v>24800</v>
      </c>
      <c r="H39" s="74">
        <f>+H70</f>
        <v>24800</v>
      </c>
    </row>
    <row r="40" spans="1:9" ht="15" thickBot="1" x14ac:dyDescent="0.2">
      <c r="A40" s="60" t="s">
        <v>80</v>
      </c>
      <c r="B40" s="61"/>
      <c r="C40" s="61"/>
      <c r="D40" s="62">
        <f>+D36-D39</f>
        <v>-216610</v>
      </c>
      <c r="E40" s="62">
        <f>+E36-E39</f>
        <v>-207796</v>
      </c>
      <c r="F40" s="62">
        <f>+F36-F39</f>
        <v>274778</v>
      </c>
      <c r="G40" s="62">
        <f>+G36-G39</f>
        <v>1576620</v>
      </c>
      <c r="H40" s="63">
        <f>+H36-H39</f>
        <v>4341870</v>
      </c>
    </row>
    <row r="41" spans="1:9" ht="15" thickTop="1" x14ac:dyDescent="0.15">
      <c r="A41" s="75" t="s">
        <v>10</v>
      </c>
      <c r="B41" s="76"/>
      <c r="C41" s="76"/>
      <c r="D41" s="77">
        <f>D40/D17</f>
        <v>-1.7975933609958505</v>
      </c>
      <c r="E41" s="77">
        <f>E40/E17</f>
        <v>-1.0777800829875519</v>
      </c>
      <c r="F41" s="77">
        <f>F40/F17</f>
        <v>0.36779279882211219</v>
      </c>
      <c r="G41" s="77">
        <f>G40/G17</f>
        <v>0.72688796680497925</v>
      </c>
      <c r="H41" s="78">
        <f>H40/H17</f>
        <v>0.83795619029238633</v>
      </c>
    </row>
    <row r="42" spans="1:9" x14ac:dyDescent="0.15">
      <c r="A42" s="79"/>
      <c r="B42" s="79"/>
      <c r="C42" s="79"/>
      <c r="D42" s="80"/>
      <c r="E42" s="80"/>
      <c r="F42" s="80"/>
      <c r="G42" s="80"/>
      <c r="H42" s="148"/>
    </row>
    <row r="43" spans="1:9" x14ac:dyDescent="0.15">
      <c r="A43" s="79" t="s">
        <v>64</v>
      </c>
      <c r="B43" s="81">
        <v>0.32</v>
      </c>
      <c r="C43" s="79"/>
      <c r="D43" s="82">
        <f>-IF(D40&lt;0,0,D40*B43)</f>
        <v>0</v>
      </c>
      <c r="E43" s="82">
        <f>-IF(E40&lt;0,0,E40*$B43)</f>
        <v>0</v>
      </c>
      <c r="F43" s="82">
        <f>-IF(F40&lt;0,0,F40*$B43)</f>
        <v>-87928.960000000006</v>
      </c>
      <c r="G43" s="82">
        <f>-IF(G40&lt;0,0,G40*$B43)</f>
        <v>-504518.40000000002</v>
      </c>
      <c r="H43" s="149">
        <f>-IF(H40&lt;0,0,H40*$B43)</f>
        <v>-1389398.4000000001</v>
      </c>
    </row>
    <row r="44" spans="1:9" x14ac:dyDescent="0.15">
      <c r="A44" s="79"/>
      <c r="B44" s="79"/>
      <c r="C44" s="79"/>
      <c r="D44" s="80"/>
      <c r="E44" s="80"/>
      <c r="F44" s="80"/>
      <c r="G44" s="80"/>
      <c r="H44" s="148"/>
    </row>
    <row r="45" spans="1:9" ht="18" customHeight="1" thickBot="1" x14ac:dyDescent="0.2">
      <c r="A45" s="127" t="s">
        <v>48</v>
      </c>
      <c r="B45" s="128"/>
      <c r="C45" s="128"/>
      <c r="D45" s="129">
        <f>+D40+D43</f>
        <v>-216610</v>
      </c>
      <c r="E45" s="129">
        <f>+E40+E43</f>
        <v>-207796</v>
      </c>
      <c r="F45" s="129">
        <f t="shared" ref="F45:H45" si="2">+F40+F43</f>
        <v>186849.03999999998</v>
      </c>
      <c r="G45" s="129">
        <f t="shared" si="2"/>
        <v>1072101.6000000001</v>
      </c>
      <c r="H45" s="130">
        <f t="shared" si="2"/>
        <v>2952471.5999999996</v>
      </c>
    </row>
    <row r="46" spans="1:9" ht="15" thickTop="1" x14ac:dyDescent="0.15">
      <c r="H46" s="108"/>
    </row>
    <row r="47" spans="1:9" ht="16" x14ac:dyDescent="0.2">
      <c r="A47" s="83"/>
      <c r="B47" s="84"/>
      <c r="C47" s="84"/>
      <c r="D47" s="105" t="s">
        <v>2</v>
      </c>
      <c r="E47" s="105" t="s">
        <v>3</v>
      </c>
      <c r="F47" s="105" t="s">
        <v>4</v>
      </c>
      <c r="G47" s="105" t="s">
        <v>5</v>
      </c>
      <c r="H47" s="106" t="s">
        <v>6</v>
      </c>
    </row>
    <row r="48" spans="1:9" ht="16" x14ac:dyDescent="0.2">
      <c r="A48" s="85" t="s">
        <v>35</v>
      </c>
      <c r="B48" s="86"/>
      <c r="C48" s="87"/>
      <c r="D48" s="86"/>
      <c r="E48" s="86"/>
      <c r="F48" s="86"/>
      <c r="G48" s="86"/>
      <c r="H48" s="88"/>
    </row>
    <row r="49" spans="1:8" x14ac:dyDescent="0.15">
      <c r="A49" s="33" t="s">
        <v>49</v>
      </c>
      <c r="B49" s="89"/>
      <c r="E49" s="89"/>
      <c r="F49" s="89"/>
      <c r="G49" s="89"/>
      <c r="H49" s="90"/>
    </row>
    <row r="50" spans="1:8" x14ac:dyDescent="0.15">
      <c r="A50" s="137" t="s">
        <v>94</v>
      </c>
      <c r="B50" s="89"/>
      <c r="D50" s="112">
        <v>10000</v>
      </c>
      <c r="E50" s="89"/>
      <c r="F50" s="89"/>
      <c r="G50" s="89"/>
      <c r="H50" s="90"/>
    </row>
    <row r="51" spans="1:8" x14ac:dyDescent="0.15">
      <c r="A51" s="137" t="s">
        <v>95</v>
      </c>
      <c r="B51" s="89"/>
      <c r="D51" s="112">
        <v>15000</v>
      </c>
      <c r="E51" s="89"/>
      <c r="F51" s="89"/>
      <c r="G51" s="89"/>
      <c r="H51" s="90"/>
    </row>
    <row r="52" spans="1:8" x14ac:dyDescent="0.15">
      <c r="A52" s="107" t="s">
        <v>55</v>
      </c>
      <c r="B52" s="89"/>
      <c r="D52" s="112">
        <v>6000</v>
      </c>
      <c r="E52" s="89"/>
      <c r="F52" s="89"/>
      <c r="G52" s="89"/>
      <c r="H52" s="90"/>
    </row>
    <row r="53" spans="1:8" x14ac:dyDescent="0.15">
      <c r="A53" s="137" t="s">
        <v>91</v>
      </c>
      <c r="B53" s="89"/>
      <c r="D53" s="112">
        <v>30000</v>
      </c>
      <c r="E53" s="89"/>
      <c r="F53" s="89"/>
      <c r="G53" s="89"/>
      <c r="H53" s="90"/>
    </row>
    <row r="54" spans="1:8" x14ac:dyDescent="0.15">
      <c r="A54" s="137" t="s">
        <v>97</v>
      </c>
      <c r="B54" s="89"/>
      <c r="D54" s="112">
        <v>8000</v>
      </c>
      <c r="E54" s="89"/>
      <c r="F54" s="89"/>
      <c r="G54" s="89"/>
      <c r="H54" s="90"/>
    </row>
    <row r="55" spans="1:8" x14ac:dyDescent="0.15">
      <c r="A55" s="137" t="s">
        <v>96</v>
      </c>
      <c r="B55" s="89"/>
      <c r="D55" s="112">
        <v>5000</v>
      </c>
      <c r="E55" s="89"/>
      <c r="F55" s="89"/>
      <c r="G55" s="89"/>
      <c r="H55" s="90"/>
    </row>
    <row r="56" spans="1:8" s="93" customFormat="1" x14ac:dyDescent="0.15">
      <c r="A56" s="33" t="s">
        <v>50</v>
      </c>
      <c r="B56" s="101"/>
      <c r="D56" s="103">
        <f>SUM(D50:D55)</f>
        <v>74000</v>
      </c>
      <c r="E56" s="101"/>
      <c r="F56" s="101"/>
      <c r="G56" s="101"/>
      <c r="H56" s="102"/>
    </row>
    <row r="57" spans="1:8" s="93" customFormat="1" x14ac:dyDescent="0.15">
      <c r="A57" s="33"/>
      <c r="B57" s="101"/>
      <c r="D57" s="103"/>
      <c r="E57" s="101"/>
      <c r="F57" s="101"/>
      <c r="G57" s="101"/>
      <c r="H57" s="102"/>
    </row>
    <row r="58" spans="1:8" x14ac:dyDescent="0.15">
      <c r="A58" s="33" t="s">
        <v>51</v>
      </c>
      <c r="B58" s="89"/>
      <c r="E58" s="112"/>
      <c r="F58" s="89"/>
      <c r="G58" s="89"/>
      <c r="H58" s="90"/>
    </row>
    <row r="59" spans="1:8" x14ac:dyDescent="0.15">
      <c r="A59" s="44" t="s">
        <v>12</v>
      </c>
      <c r="B59" s="89"/>
      <c r="E59" s="112">
        <v>50000</v>
      </c>
      <c r="F59" s="89"/>
      <c r="G59" s="89"/>
      <c r="H59" s="90"/>
    </row>
    <row r="60" spans="1:8" x14ac:dyDescent="0.15">
      <c r="A60" s="33" t="s">
        <v>52</v>
      </c>
      <c r="B60" s="89"/>
      <c r="D60" s="103">
        <f>SUM(D59:D59)</f>
        <v>0</v>
      </c>
      <c r="E60" s="103">
        <f>SUM(E59:E59)</f>
        <v>50000</v>
      </c>
      <c r="F60" s="89"/>
      <c r="G60" s="89"/>
      <c r="H60" s="90"/>
    </row>
    <row r="61" spans="1:8" x14ac:dyDescent="0.15">
      <c r="A61" s="33"/>
      <c r="B61" s="89"/>
      <c r="D61" s="103"/>
      <c r="E61" s="103"/>
      <c r="F61" s="89"/>
      <c r="G61" s="89"/>
      <c r="H61" s="90"/>
    </row>
    <row r="62" spans="1:8" s="93" customFormat="1" x14ac:dyDescent="0.15">
      <c r="A62" s="37" t="s">
        <v>7</v>
      </c>
      <c r="B62" s="91"/>
      <c r="C62" s="91"/>
      <c r="D62" s="92">
        <f>+D56+D60</f>
        <v>74000</v>
      </c>
      <c r="E62" s="92">
        <f>+E56+E60</f>
        <v>50000</v>
      </c>
      <c r="F62" s="92">
        <f>+F56+F60</f>
        <v>0</v>
      </c>
      <c r="G62" s="92">
        <f>+G56+G60</f>
        <v>0</v>
      </c>
      <c r="H62" s="150">
        <f>+H56+H60</f>
        <v>0</v>
      </c>
    </row>
    <row r="63" spans="1:8" x14ac:dyDescent="0.15">
      <c r="H63" s="108"/>
    </row>
    <row r="64" spans="1:8" x14ac:dyDescent="0.15">
      <c r="A64" s="27" t="s">
        <v>8</v>
      </c>
      <c r="B64" s="55"/>
      <c r="C64" s="55"/>
      <c r="D64" s="55"/>
      <c r="E64" s="55"/>
      <c r="F64" s="55"/>
      <c r="G64" s="55"/>
      <c r="H64" s="42"/>
    </row>
    <row r="65" spans="1:14" x14ac:dyDescent="0.15">
      <c r="A65" s="122" t="s">
        <v>65</v>
      </c>
      <c r="D65" s="89">
        <f>+D62/5</f>
        <v>14800</v>
      </c>
      <c r="E65" s="94">
        <f>+D65</f>
        <v>14800</v>
      </c>
      <c r="F65" s="94">
        <f>+D65</f>
        <v>14800</v>
      </c>
      <c r="G65" s="94">
        <f>+D65</f>
        <v>14800</v>
      </c>
      <c r="H65" s="95">
        <f>+D65</f>
        <v>14800</v>
      </c>
    </row>
    <row r="66" spans="1:14" x14ac:dyDescent="0.15">
      <c r="A66" s="122" t="s">
        <v>66</v>
      </c>
      <c r="E66" s="94">
        <f>+E62/5</f>
        <v>10000</v>
      </c>
      <c r="F66" s="94">
        <f>+E66</f>
        <v>10000</v>
      </c>
      <c r="G66" s="94">
        <f>+F66</f>
        <v>10000</v>
      </c>
      <c r="H66" s="95">
        <f>+G66</f>
        <v>10000</v>
      </c>
    </row>
    <row r="67" spans="1:14" x14ac:dyDescent="0.15">
      <c r="A67" s="122" t="s">
        <v>67</v>
      </c>
      <c r="F67" s="94">
        <f>+F62/5</f>
        <v>0</v>
      </c>
      <c r="G67" s="94">
        <f>+F67</f>
        <v>0</v>
      </c>
      <c r="H67" s="95">
        <f>+G67</f>
        <v>0</v>
      </c>
    </row>
    <row r="68" spans="1:14" x14ac:dyDescent="0.15">
      <c r="A68" s="122" t="s">
        <v>68</v>
      </c>
      <c r="G68" s="94">
        <f>+G62/5</f>
        <v>0</v>
      </c>
      <c r="H68" s="95">
        <f>+G68</f>
        <v>0</v>
      </c>
    </row>
    <row r="69" spans="1:14" x14ac:dyDescent="0.15">
      <c r="A69" s="122" t="s">
        <v>69</v>
      </c>
      <c r="H69" s="95">
        <f>+H62/5</f>
        <v>0</v>
      </c>
    </row>
    <row r="70" spans="1:14" s="93" customFormat="1" x14ac:dyDescent="0.15">
      <c r="A70" s="37" t="s">
        <v>9</v>
      </c>
      <c r="B70" s="91"/>
      <c r="C70" s="91"/>
      <c r="D70" s="96">
        <f>SUM(D65:D69)</f>
        <v>14800</v>
      </c>
      <c r="E70" s="96">
        <f t="shared" ref="E70:H70" si="3">SUM(E65:E69)</f>
        <v>24800</v>
      </c>
      <c r="F70" s="96">
        <f t="shared" si="3"/>
        <v>24800</v>
      </c>
      <c r="G70" s="96">
        <f t="shared" si="3"/>
        <v>24800</v>
      </c>
      <c r="H70" s="97">
        <f t="shared" si="3"/>
        <v>24800</v>
      </c>
    </row>
    <row r="74" spans="1:14" x14ac:dyDescent="0.15">
      <c r="E74" s="142"/>
    </row>
    <row r="76" spans="1:14" x14ac:dyDescent="0.15">
      <c r="N76" s="142"/>
    </row>
    <row r="81" spans="10:10" x14ac:dyDescent="0.15">
      <c r="J81" s="142"/>
    </row>
  </sheetData>
  <mergeCells count="1">
    <mergeCell ref="A1:H1"/>
  </mergeCells>
  <phoneticPr fontId="18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7"/>
  <sheetViews>
    <sheetView tabSelected="1" topLeftCell="A7" zoomScale="125" zoomScaleNormal="80" zoomScalePageLayoutView="80" workbookViewId="0">
      <selection activeCell="G32" sqref="G32"/>
    </sheetView>
  </sheetViews>
  <sheetFormatPr baseColWidth="10" defaultColWidth="8.83203125" defaultRowHeight="15" x14ac:dyDescent="0.2"/>
  <cols>
    <col min="1" max="1" width="62.83203125" bestFit="1" customWidth="1"/>
    <col min="2" max="3" width="9.5" bestFit="1" customWidth="1"/>
    <col min="4" max="5" width="10.5" bestFit="1" customWidth="1"/>
    <col min="6" max="6" width="10.83203125" bestFit="1" customWidth="1"/>
  </cols>
  <sheetData>
    <row r="1" spans="1:6" ht="18" x14ac:dyDescent="0.2">
      <c r="B1" s="18"/>
      <c r="C1" s="18"/>
      <c r="D1" s="18"/>
      <c r="E1" s="18"/>
      <c r="F1" s="18"/>
    </row>
    <row r="2" spans="1:6" ht="35.5" customHeight="1" x14ac:dyDescent="0.2">
      <c r="A2" s="152" t="s">
        <v>11</v>
      </c>
      <c r="B2" s="152"/>
      <c r="C2" s="152"/>
      <c r="D2" s="152"/>
      <c r="E2" s="152"/>
      <c r="F2" s="152"/>
    </row>
    <row r="3" spans="1:6" x14ac:dyDescent="0.2">
      <c r="A3" s="24"/>
      <c r="B3" s="104" t="s">
        <v>2</v>
      </c>
      <c r="C3" s="104" t="s">
        <v>3</v>
      </c>
      <c r="D3" s="104" t="s">
        <v>4</v>
      </c>
      <c r="E3" s="104" t="s">
        <v>5</v>
      </c>
      <c r="F3" s="104" t="s">
        <v>6</v>
      </c>
    </row>
    <row r="4" spans="1:6" x14ac:dyDescent="0.2">
      <c r="A4" s="7" t="s">
        <v>15</v>
      </c>
      <c r="B4" s="8"/>
      <c r="C4" s="8"/>
      <c r="D4" s="115"/>
      <c r="E4" s="9"/>
      <c r="F4" s="10"/>
    </row>
    <row r="5" spans="1:6" x14ac:dyDescent="0.2">
      <c r="A5" s="11" t="s">
        <v>16</v>
      </c>
      <c r="B5" s="3">
        <f>-'Conto Economico'!D62</f>
        <v>-74000</v>
      </c>
      <c r="C5" s="3">
        <f>-'Conto Economico'!E62</f>
        <v>-50000</v>
      </c>
      <c r="D5" s="3">
        <f>-'Conto Economico'!F62</f>
        <v>0</v>
      </c>
      <c r="E5" s="3">
        <f>-'Conto Economico'!G62</f>
        <v>0</v>
      </c>
      <c r="F5" s="12">
        <f>-'Conto Economico'!H62</f>
        <v>0</v>
      </c>
    </row>
    <row r="6" spans="1:6" x14ac:dyDescent="0.2">
      <c r="A6" s="11" t="s">
        <v>17</v>
      </c>
      <c r="B6" s="3">
        <f>+B5*0.22</f>
        <v>-16280</v>
      </c>
      <c r="C6" s="3">
        <f t="shared" ref="C6:F6" si="0">+C5*0.22</f>
        <v>-11000</v>
      </c>
      <c r="D6" s="3">
        <f t="shared" si="0"/>
        <v>0</v>
      </c>
      <c r="E6" s="3">
        <f t="shared" si="0"/>
        <v>0</v>
      </c>
      <c r="F6" s="12">
        <f t="shared" si="0"/>
        <v>0</v>
      </c>
    </row>
    <row r="7" spans="1:6" x14ac:dyDescent="0.2">
      <c r="A7" s="131" t="s">
        <v>18</v>
      </c>
      <c r="B7" s="132">
        <f>SUM(B5:B6)</f>
        <v>-90280</v>
      </c>
      <c r="C7" s="132">
        <f>SUM(C5:C6)</f>
        <v>-61000</v>
      </c>
      <c r="D7" s="132">
        <f>SUM(D5:D6)</f>
        <v>0</v>
      </c>
      <c r="E7" s="132">
        <f>SUM(E5:E6)</f>
        <v>0</v>
      </c>
      <c r="F7" s="133">
        <f>SUM(F5:F6)</f>
        <v>0</v>
      </c>
    </row>
    <row r="8" spans="1:6" ht="10" customHeight="1" x14ac:dyDescent="0.2">
      <c r="A8" s="3"/>
      <c r="B8" s="3"/>
      <c r="C8" s="3"/>
      <c r="D8" s="4"/>
      <c r="E8" s="113"/>
      <c r="F8" s="113"/>
    </row>
    <row r="9" spans="1:6" x14ac:dyDescent="0.2">
      <c r="A9" s="7" t="s">
        <v>19</v>
      </c>
      <c r="B9" s="8"/>
      <c r="C9" s="8"/>
      <c r="D9" s="115"/>
      <c r="E9" s="9"/>
      <c r="F9" s="10"/>
    </row>
    <row r="10" spans="1:6" x14ac:dyDescent="0.2">
      <c r="A10" s="11" t="s">
        <v>37</v>
      </c>
      <c r="B10" s="3">
        <v>50000</v>
      </c>
      <c r="C10" s="3"/>
      <c r="D10" s="3"/>
      <c r="E10" s="3"/>
      <c r="F10" s="12"/>
    </row>
    <row r="11" spans="1:6" x14ac:dyDescent="0.2">
      <c r="A11" s="11" t="s">
        <v>54</v>
      </c>
      <c r="B11" s="3">
        <v>250000</v>
      </c>
      <c r="C11" s="3">
        <v>300000</v>
      </c>
      <c r="D11" s="3"/>
      <c r="E11" s="3"/>
      <c r="F11" s="12"/>
    </row>
    <row r="12" spans="1:6" x14ac:dyDescent="0.2">
      <c r="A12" s="11" t="s">
        <v>20</v>
      </c>
      <c r="B12" s="3"/>
      <c r="C12" s="3"/>
      <c r="D12" s="3"/>
      <c r="E12" s="3"/>
      <c r="F12" s="12"/>
    </row>
    <row r="13" spans="1:6" x14ac:dyDescent="0.2">
      <c r="A13" s="11" t="s">
        <v>21</v>
      </c>
      <c r="B13" s="3"/>
      <c r="C13" s="3"/>
      <c r="D13" s="3"/>
      <c r="E13" s="3"/>
      <c r="F13" s="12"/>
    </row>
    <row r="14" spans="1:6" x14ac:dyDescent="0.2">
      <c r="A14" s="11" t="s">
        <v>22</v>
      </c>
      <c r="B14" s="3"/>
      <c r="C14" s="3"/>
      <c r="D14" s="3"/>
      <c r="E14" s="3"/>
      <c r="F14" s="12"/>
    </row>
    <row r="15" spans="1:6" x14ac:dyDescent="0.2">
      <c r="A15" s="131" t="s">
        <v>23</v>
      </c>
      <c r="B15" s="132">
        <f>SUM(B9:B14)</f>
        <v>300000</v>
      </c>
      <c r="C15" s="132">
        <f>SUM(C9:C14)</f>
        <v>300000</v>
      </c>
      <c r="D15" s="132">
        <f>SUM(D9:D14)</f>
        <v>0</v>
      </c>
      <c r="E15" s="132">
        <f>SUM(E9:E14)</f>
        <v>0</v>
      </c>
      <c r="F15" s="133">
        <f>SUM(F9:F14)</f>
        <v>0</v>
      </c>
    </row>
    <row r="16" spans="1:6" ht="10" customHeight="1" x14ac:dyDescent="0.2">
      <c r="A16" s="114"/>
      <c r="B16" s="5"/>
      <c r="C16" s="3"/>
      <c r="D16" s="3"/>
      <c r="E16" s="3"/>
      <c r="F16" s="3"/>
    </row>
    <row r="17" spans="1:6" x14ac:dyDescent="0.2">
      <c r="A17" s="7" t="s">
        <v>24</v>
      </c>
      <c r="B17" s="15"/>
      <c r="C17" s="8"/>
      <c r="D17" s="115"/>
      <c r="E17" s="16"/>
      <c r="F17" s="17"/>
    </row>
    <row r="18" spans="1:6" x14ac:dyDescent="0.2">
      <c r="A18" s="11" t="s">
        <v>25</v>
      </c>
      <c r="B18" s="3">
        <f>+'Conto Economico'!D17</f>
        <v>120500</v>
      </c>
      <c r="C18" s="3">
        <f>+'Conto Economico'!E17</f>
        <v>192800</v>
      </c>
      <c r="D18" s="3">
        <f>+'Conto Economico'!F17</f>
        <v>747100</v>
      </c>
      <c r="E18" s="3">
        <f>+'Conto Economico'!G17</f>
        <v>2169000</v>
      </c>
      <c r="F18" s="12">
        <f>+'Conto Economico'!H17</f>
        <v>5181500</v>
      </c>
    </row>
    <row r="19" spans="1:6" x14ac:dyDescent="0.2">
      <c r="A19" s="11" t="s">
        <v>26</v>
      </c>
      <c r="B19" s="3">
        <f>+B18*22%</f>
        <v>26510</v>
      </c>
      <c r="C19" s="3">
        <f>+C18*22%</f>
        <v>42416</v>
      </c>
      <c r="D19" s="3">
        <f>+D18*22%</f>
        <v>164362</v>
      </c>
      <c r="E19" s="3">
        <f>+E18*22%</f>
        <v>477180</v>
      </c>
      <c r="F19" s="12">
        <f>+F18*22%</f>
        <v>1139930</v>
      </c>
    </row>
    <row r="20" spans="1:6" x14ac:dyDescent="0.2">
      <c r="A20" s="11" t="s">
        <v>27</v>
      </c>
      <c r="B20" s="3">
        <f>-'Conto Economico'!D24-'Conto Economico'!D34</f>
        <v>-322310</v>
      </c>
      <c r="C20" s="3">
        <f>-'Conto Economico'!E24-'Conto Economico'!E34</f>
        <v>-375796</v>
      </c>
      <c r="D20" s="3">
        <f>-'Conto Economico'!F24-'Conto Economico'!F34</f>
        <v>-447522</v>
      </c>
      <c r="E20" s="3">
        <f>-'Conto Economico'!G24-'Conto Economico'!G34</f>
        <v>-567580</v>
      </c>
      <c r="F20" s="12">
        <f>-'Conto Economico'!H24-'Conto Economico'!H34</f>
        <v>-814830</v>
      </c>
    </row>
    <row r="21" spans="1:6" x14ac:dyDescent="0.2">
      <c r="A21" s="11" t="s">
        <v>28</v>
      </c>
      <c r="B21" s="3">
        <f>(+B20+'Conto Economico'!D27)*0.22</f>
        <v>-26908.2</v>
      </c>
      <c r="C21" s="3">
        <f>(+C20+'Conto Economico'!E27)*0.22</f>
        <v>-29875.119999999999</v>
      </c>
      <c r="D21" s="3">
        <f>(+D20+'Conto Economico'!F27)*0.22</f>
        <v>-39054.840000000004</v>
      </c>
      <c r="E21" s="3">
        <f>+(E20+'Conto Economico'!G27)*22%</f>
        <v>-58867.6</v>
      </c>
      <c r="F21" s="12">
        <f>+(F20+'Conto Economico'!H27)*22%</f>
        <v>-102262.6</v>
      </c>
    </row>
    <row r="22" spans="1:6" x14ac:dyDescent="0.2">
      <c r="A22" s="11" t="s">
        <v>29</v>
      </c>
      <c r="B22" s="3">
        <f>-IF(B46&lt;0,0,B46)</f>
        <v>0</v>
      </c>
      <c r="C22" s="3">
        <f>-IF(C46&lt;0,0,C46)</f>
        <v>0</v>
      </c>
      <c r="D22" s="3">
        <f t="shared" ref="D22:F22" si="1">-IF(D46&lt;0,0,D46)</f>
        <v>-110169.84000000001</v>
      </c>
      <c r="E22" s="3">
        <f t="shared" si="1"/>
        <v>-418312.4</v>
      </c>
      <c r="F22" s="12">
        <f t="shared" si="1"/>
        <v>-1037667.4</v>
      </c>
    </row>
    <row r="23" spans="1:6" x14ac:dyDescent="0.2">
      <c r="A23" s="131" t="s">
        <v>30</v>
      </c>
      <c r="B23" s="132">
        <f>SUM(B16:B22)</f>
        <v>-202208.2</v>
      </c>
      <c r="C23" s="132">
        <f>SUM(C16:C22)</f>
        <v>-170455.12</v>
      </c>
      <c r="D23" s="132">
        <f>SUM(D16:D22)</f>
        <v>314715.31999999995</v>
      </c>
      <c r="E23" s="132">
        <f>SUM(E16:E22)</f>
        <v>1601420</v>
      </c>
      <c r="F23" s="133">
        <f>SUM(F16:F22)</f>
        <v>4366670</v>
      </c>
    </row>
    <row r="24" spans="1:6" ht="10" customHeight="1" x14ac:dyDescent="0.2">
      <c r="A24" s="114"/>
      <c r="B24" s="3"/>
      <c r="C24" s="3"/>
      <c r="D24" s="4"/>
      <c r="E24" s="6"/>
      <c r="F24" s="6"/>
    </row>
    <row r="25" spans="1:6" x14ac:dyDescent="0.2">
      <c r="A25" s="22" t="s">
        <v>31</v>
      </c>
      <c r="B25" s="15">
        <f>+B7+B23</f>
        <v>-292488.2</v>
      </c>
      <c r="C25" s="15">
        <f>+C7+C23</f>
        <v>-231455.12</v>
      </c>
      <c r="D25" s="15">
        <f>+D7+D23</f>
        <v>314715.31999999995</v>
      </c>
      <c r="E25" s="15">
        <f>+E7+E23</f>
        <v>1601420</v>
      </c>
      <c r="F25" s="23">
        <f>+F7+F23</f>
        <v>4366670</v>
      </c>
    </row>
    <row r="26" spans="1:6" x14ac:dyDescent="0.2">
      <c r="A26" s="11" t="s">
        <v>32</v>
      </c>
      <c r="B26" s="3">
        <f>+'Conto Economico'!D43</f>
        <v>0</v>
      </c>
      <c r="C26" s="3">
        <f>+'Conto Economico'!E43</f>
        <v>0</v>
      </c>
      <c r="D26" s="3">
        <f>+'Conto Economico'!F43</f>
        <v>-87928.960000000006</v>
      </c>
      <c r="E26" s="3">
        <f>+'Conto Economico'!G43</f>
        <v>-504518.40000000002</v>
      </c>
      <c r="F26" s="12">
        <f>+'Conto Economico'!H43</f>
        <v>-1389398.4000000001</v>
      </c>
    </row>
    <row r="27" spans="1:6" x14ac:dyDescent="0.2">
      <c r="A27" s="25" t="s">
        <v>33</v>
      </c>
      <c r="B27" s="13">
        <f>+B25+B26</f>
        <v>-292488.2</v>
      </c>
      <c r="C27" s="13">
        <f>+C25+C26</f>
        <v>-231455.12</v>
      </c>
      <c r="D27" s="13">
        <f>+D25+D26</f>
        <v>226786.35999999993</v>
      </c>
      <c r="E27" s="13">
        <f>+E25+E26</f>
        <v>1096901.6000000001</v>
      </c>
      <c r="F27" s="14">
        <f>+F25+F26</f>
        <v>2977271.5999999996</v>
      </c>
    </row>
    <row r="28" spans="1:6" ht="10" customHeight="1" x14ac:dyDescent="0.2">
      <c r="A28" s="116"/>
      <c r="B28" s="5"/>
      <c r="C28" s="5"/>
      <c r="D28" s="5"/>
      <c r="E28" s="5"/>
      <c r="F28" s="5"/>
    </row>
    <row r="29" spans="1:6" x14ac:dyDescent="0.2">
      <c r="A29" s="134" t="s">
        <v>34</v>
      </c>
      <c r="B29" s="135">
        <f>+B23+B15+B7+B26</f>
        <v>7511.7999999999884</v>
      </c>
      <c r="C29" s="135">
        <f>+C23+C15+C7+C26</f>
        <v>68544.88</v>
      </c>
      <c r="D29" s="135">
        <f>+D23+D15+D7+D26</f>
        <v>226786.35999999993</v>
      </c>
      <c r="E29" s="135">
        <f>+E23+E15+E7+E26</f>
        <v>1096901.6000000001</v>
      </c>
      <c r="F29" s="136">
        <f>+F23+F15+F7+F26</f>
        <v>2977271.5999999996</v>
      </c>
    </row>
    <row r="30" spans="1:6" x14ac:dyDescent="0.2">
      <c r="A30" s="5"/>
      <c r="B30" s="3"/>
      <c r="C30" s="3"/>
      <c r="D30" s="4"/>
      <c r="E30" s="6"/>
      <c r="F30" s="6"/>
    </row>
    <row r="31" spans="1:6" x14ac:dyDescent="0.2">
      <c r="A31" s="19" t="s">
        <v>70</v>
      </c>
      <c r="B31" s="20">
        <f>+B29</f>
        <v>7511.7999999999884</v>
      </c>
      <c r="C31" s="20">
        <f>+C29+B31</f>
        <v>76056.679999999993</v>
      </c>
      <c r="D31" s="20">
        <f>+D29+C31</f>
        <v>302843.03999999992</v>
      </c>
      <c r="E31" s="20">
        <f>+E29+D31</f>
        <v>1399744.6400000001</v>
      </c>
      <c r="F31" s="21">
        <f>+F29+E31</f>
        <v>4377016.24</v>
      </c>
    </row>
    <row r="36" spans="1:6" s="26" customFormat="1" ht="14" x14ac:dyDescent="0.15"/>
    <row r="37" spans="1:6" s="26" customFormat="1" ht="14" x14ac:dyDescent="0.15">
      <c r="A37" s="27" t="s">
        <v>71</v>
      </c>
      <c r="B37" s="28"/>
      <c r="C37" s="28"/>
      <c r="D37" s="28"/>
      <c r="E37" s="28"/>
      <c r="F37" s="29"/>
    </row>
    <row r="38" spans="1:6" s="26" customFormat="1" ht="14" x14ac:dyDescent="0.15">
      <c r="A38" s="122" t="s">
        <v>72</v>
      </c>
      <c r="B38" s="31">
        <f>-B6</f>
        <v>16280</v>
      </c>
      <c r="C38" s="31">
        <f>-C6</f>
        <v>11000</v>
      </c>
      <c r="D38" s="31">
        <f>-D6</f>
        <v>0</v>
      </c>
      <c r="E38" s="31">
        <f>-E6</f>
        <v>0</v>
      </c>
      <c r="F38" s="32">
        <f>-F6</f>
        <v>0</v>
      </c>
    </row>
    <row r="39" spans="1:6" s="26" customFormat="1" ht="14" x14ac:dyDescent="0.15">
      <c r="A39" s="122" t="s">
        <v>73</v>
      </c>
      <c r="B39" s="31">
        <f>-B21</f>
        <v>26908.2</v>
      </c>
      <c r="C39" s="31">
        <f>-C21</f>
        <v>29875.119999999999</v>
      </c>
      <c r="D39" s="31">
        <f>-D21</f>
        <v>39054.840000000004</v>
      </c>
      <c r="E39" s="31">
        <f>-E21</f>
        <v>58867.6</v>
      </c>
      <c r="F39" s="32">
        <f>-F21</f>
        <v>102262.6</v>
      </c>
    </row>
    <row r="40" spans="1:6" s="26" customFormat="1" ht="14" x14ac:dyDescent="0.15">
      <c r="A40" s="33" t="s">
        <v>74</v>
      </c>
      <c r="B40" s="34">
        <f>SUM(B38:B39)</f>
        <v>43188.2</v>
      </c>
      <c r="C40" s="34">
        <f t="shared" ref="C40:F40" si="2">SUM(C38:C39)</f>
        <v>40875.119999999995</v>
      </c>
      <c r="D40" s="34">
        <f t="shared" si="2"/>
        <v>39054.840000000004</v>
      </c>
      <c r="E40" s="34">
        <f t="shared" si="2"/>
        <v>58867.6</v>
      </c>
      <c r="F40" s="35">
        <f t="shared" si="2"/>
        <v>102262.6</v>
      </c>
    </row>
    <row r="41" spans="1:6" x14ac:dyDescent="0.2">
      <c r="A41" s="1"/>
      <c r="F41" s="2"/>
    </row>
    <row r="42" spans="1:6" s="26" customFormat="1" ht="14" x14ac:dyDescent="0.15">
      <c r="A42" s="11" t="s">
        <v>75</v>
      </c>
      <c r="B42" s="31">
        <f>+B19</f>
        <v>26510</v>
      </c>
      <c r="C42" s="31">
        <f>+C19</f>
        <v>42416</v>
      </c>
      <c r="D42" s="31">
        <f>+D19</f>
        <v>164362</v>
      </c>
      <c r="E42" s="31">
        <f>+E19</f>
        <v>477180</v>
      </c>
      <c r="F42" s="32">
        <f>+F19</f>
        <v>1139930</v>
      </c>
    </row>
    <row r="43" spans="1:6" s="26" customFormat="1" ht="14" x14ac:dyDescent="0.15">
      <c r="A43" s="30"/>
      <c r="F43" s="36"/>
    </row>
    <row r="44" spans="1:6" s="26" customFormat="1" ht="14" x14ac:dyDescent="0.15">
      <c r="A44" s="122" t="s">
        <v>76</v>
      </c>
      <c r="B44" s="31">
        <f>+B42-B40</f>
        <v>-16678.199999999997</v>
      </c>
      <c r="C44" s="31">
        <f>+C42-C40</f>
        <v>1540.8800000000047</v>
      </c>
      <c r="D44" s="31">
        <f t="shared" ref="D44:F44" si="3">+D42-D40</f>
        <v>125307.16</v>
      </c>
      <c r="E44" s="31">
        <f t="shared" si="3"/>
        <v>418312.4</v>
      </c>
      <c r="F44" s="32">
        <f t="shared" si="3"/>
        <v>1037667.4</v>
      </c>
    </row>
    <row r="45" spans="1:6" s="26" customFormat="1" ht="14" x14ac:dyDescent="0.15">
      <c r="A45" s="30"/>
      <c r="F45" s="36"/>
    </row>
    <row r="46" spans="1:6" s="26" customFormat="1" ht="14" x14ac:dyDescent="0.15">
      <c r="A46" s="37" t="s">
        <v>77</v>
      </c>
      <c r="B46" s="38">
        <f>+B44</f>
        <v>-16678.199999999997</v>
      </c>
      <c r="C46" s="38">
        <f>+IF(B46&lt;0,B46+C44,C44)</f>
        <v>-15137.319999999992</v>
      </c>
      <c r="D46" s="38">
        <f>+IF(C46&lt;0,C46+D44,D44)</f>
        <v>110169.84000000001</v>
      </c>
      <c r="E46" s="38">
        <f t="shared" ref="E46:F46" si="4">+IF(D46&lt;0,D46+E44,E44)</f>
        <v>418312.4</v>
      </c>
      <c r="F46" s="39">
        <f t="shared" si="4"/>
        <v>1037667.4</v>
      </c>
    </row>
    <row r="47" spans="1:6" x14ac:dyDescent="0.2">
      <c r="B47" s="31"/>
    </row>
  </sheetData>
  <mergeCells count="1">
    <mergeCell ref="A2:F2"/>
  </mergeCells>
  <phoneticPr fontId="18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4B5320CA2903498C1AE9DF43A5A248" ma:contentTypeVersion="4" ma:contentTypeDescription="Creare un nuovo documento." ma:contentTypeScope="" ma:versionID="6e5470225db0c26090031ce021c20b36">
  <xsd:schema xmlns:xsd="http://www.w3.org/2001/XMLSchema" xmlns:xs="http://www.w3.org/2001/XMLSchema" xmlns:p="http://schemas.microsoft.com/office/2006/metadata/properties" xmlns:ns2="ba529f1c-03b4-4ac5-bf7c-0a5cbc727b6e" targetNamespace="http://schemas.microsoft.com/office/2006/metadata/properties" ma:root="true" ma:fieldsID="bbfacc79cdcea4694a0b06349058b1e2" ns2:_="">
    <xsd:import namespace="ba529f1c-03b4-4ac5-bf7c-0a5cbc727b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29f1c-03b4-4ac5-bf7c-0a5cbc727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E5BD2B-D086-4FE2-B70E-8D4755B2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989890-78DE-4080-A263-12BEAE0677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529f1c-03b4-4ac5-bf7c-0a5cbc727b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83F3BA-B0DF-477A-94D9-F0A319B01434}">
  <ds:schemaRefs>
    <ds:schemaRef ds:uri="ba529f1c-03b4-4ac5-bf7c-0a5cbc727b6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note</vt:lpstr>
      <vt:lpstr>Conto Economico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Michelangelo Smeriglio</dc:creator>
  <cp:lastModifiedBy>Lorenzo Musso</cp:lastModifiedBy>
  <dcterms:created xsi:type="dcterms:W3CDTF">2015-12-02T16:14:15Z</dcterms:created>
  <dcterms:modified xsi:type="dcterms:W3CDTF">2024-12-18T14:33:34Z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0x0101002D4B5320CA2903498C1AE9DF43A5A248</vt:lpwstr>
  </property>
</Properties>
</file>